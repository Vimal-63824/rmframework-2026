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9120" firstSheet="3" activeTab="3"/>
  </bookViews>
  <sheets>
    <sheet name="POASimilarItemImport" sheetId="32" r:id="rId1"/>
    <sheet name="POADissimilarItemImport" sheetId="37" r:id="rId2"/>
    <sheet name="POADissimilarItem" sheetId="36" r:id="rId3"/>
    <sheet name="POADissimilarItemPRTOPOImport" sheetId="40" r:id="rId4"/>
    <sheet name="POADissimilarItemPRTOPO" sheetId="39" r:id="rId5"/>
    <sheet name="PRDissimilarItem" sheetId="22" r:id="rId6"/>
    <sheet name="POASimilarItem" sheetId="28" r:id="rId7"/>
    <sheet name="POAServiceItem" sheetId="29" r:id="rId8"/>
    <sheet name="POAServiceItemPRTOPO" sheetId="33" r:id="rId9"/>
    <sheet name="PRSimilarItem" sheetId="19" r:id="rId10"/>
    <sheet name="POAServiceItemPRTOPOImport" sheetId="34" r:id="rId11"/>
    <sheet name="POASimilarItemPRTOPOImport" sheetId="35" r:id="rId12"/>
    <sheet name="POASimilarItemPRTOPO" sheetId="31" r:id="rId13"/>
    <sheet name="PRSimilarItemImport" sheetId="23" r:id="rId14"/>
    <sheet name="PRDissimilarItemImport" sheetId="24" r:id="rId15"/>
    <sheet name="PRServiceItem" sheetId="21" r:id="rId16"/>
    <sheet name="PRServiceItemImport" sheetId="27" r:id="rId17"/>
    <sheet name="POSimilarItem" sheetId="8" r:id="rId18"/>
    <sheet name="POServiceItem" sheetId="17" r:id="rId19"/>
    <sheet name="POSimilarItemImport" sheetId="14" r:id="rId20"/>
    <sheet name="PODissimilarItem" sheetId="15" r:id="rId21"/>
    <sheet name="PODissimilarItemImport" sheetId="16" r:id="rId22"/>
    <sheet name="POServiceItemImport" sheetId="18" r:id="rId23"/>
    <sheet name="Case 1" sheetId="1" r:id="rId24"/>
    <sheet name="Case 1 (2)" sheetId="20" r:id="rId25"/>
    <sheet name="Case 2" sheetId="4" r:id="rId26"/>
    <sheet name="Case 3" sheetId="6" r:id="rId27"/>
    <sheet name="Case 4" sheetId="5" r:id="rId28"/>
  </sheets>
  <calcPr calcId="124519"/>
  <pivotCaches>
    <pivotCache cacheId="0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" i="40"/>
  <c r="Q21"/>
  <c r="AJ20"/>
  <c r="AH20"/>
  <c r="AM20" s="1"/>
  <c r="AE20"/>
  <c r="AD20"/>
  <c r="AG20" s="1"/>
  <c r="AL20" s="1"/>
  <c r="AB20"/>
  <c r="X20"/>
  <c r="H20"/>
  <c r="L20" s="1"/>
  <c r="M20" s="1"/>
  <c r="AH19"/>
  <c r="AM19" s="1"/>
  <c r="AE19"/>
  <c r="AE21" s="1"/>
  <c r="AD19"/>
  <c r="AG19" s="1"/>
  <c r="AB19"/>
  <c r="AB21" s="1"/>
  <c r="X19"/>
  <c r="X21" s="1"/>
  <c r="G19"/>
  <c r="F19"/>
  <c r="AJ19" s="1"/>
  <c r="AD15"/>
  <c r="AA15"/>
  <c r="AJ14"/>
  <c r="AH14"/>
  <c r="AH15" s="1"/>
  <c r="AE14"/>
  <c r="AE15" s="1"/>
  <c r="AD14"/>
  <c r="AB14"/>
  <c r="AB15" s="1"/>
  <c r="X14"/>
  <c r="X15" s="1"/>
  <c r="H14"/>
  <c r="AA10"/>
  <c r="AH9"/>
  <c r="AH10" s="1"/>
  <c r="AE9"/>
  <c r="AE10" s="1"/>
  <c r="AD9"/>
  <c r="AD10" s="1"/>
  <c r="AB9"/>
  <c r="AB10" s="1"/>
  <c r="X9"/>
  <c r="X10" s="1"/>
  <c r="W9"/>
  <c r="W10" s="1"/>
  <c r="G9"/>
  <c r="H9" s="1"/>
  <c r="F9"/>
  <c r="AJ9" s="1"/>
  <c r="H5"/>
  <c r="H4"/>
  <c r="X20" i="39"/>
  <c r="X19"/>
  <c r="W20"/>
  <c r="W19"/>
  <c r="V20"/>
  <c r="V19"/>
  <c r="X14"/>
  <c r="X15" s="1"/>
  <c r="W14"/>
  <c r="V14"/>
  <c r="X9"/>
  <c r="X10" s="1"/>
  <c r="W9"/>
  <c r="V9"/>
  <c r="G19"/>
  <c r="F19"/>
  <c r="G9"/>
  <c r="F9"/>
  <c r="F10" i="22"/>
  <c r="H20" i="39"/>
  <c r="L20" s="1"/>
  <c r="M20" s="1"/>
  <c r="H4"/>
  <c r="AM14"/>
  <c r="AJ14"/>
  <c r="AH14"/>
  <c r="AE14"/>
  <c r="AE15" s="1"/>
  <c r="AD14"/>
  <c r="AG14" s="1"/>
  <c r="AL14" s="1"/>
  <c r="AB14"/>
  <c r="AB15" s="1"/>
  <c r="H14"/>
  <c r="L14" s="1"/>
  <c r="M14" s="1"/>
  <c r="AH9"/>
  <c r="AH10" s="1"/>
  <c r="AE9"/>
  <c r="AG9" s="1"/>
  <c r="AD9"/>
  <c r="AB9"/>
  <c r="AB10" s="1"/>
  <c r="AJ20"/>
  <c r="AH20"/>
  <c r="AE20"/>
  <c r="AD20"/>
  <c r="AB20"/>
  <c r="AH19"/>
  <c r="AE19"/>
  <c r="AE21" s="1"/>
  <c r="AD19"/>
  <c r="AB19"/>
  <c r="AB21" s="1"/>
  <c r="AA21"/>
  <c r="Q21"/>
  <c r="AA15"/>
  <c r="AH15"/>
  <c r="AA10"/>
  <c r="H5"/>
  <c r="Y14" i="37"/>
  <c r="X15"/>
  <c r="X14"/>
  <c r="W15"/>
  <c r="W14"/>
  <c r="V15"/>
  <c r="V14"/>
  <c r="AA16"/>
  <c r="Q16"/>
  <c r="H16"/>
  <c r="AJ15"/>
  <c r="AH15"/>
  <c r="AM15" s="1"/>
  <c r="AB15"/>
  <c r="M15"/>
  <c r="N15" s="1"/>
  <c r="L15"/>
  <c r="H15"/>
  <c r="AJ14"/>
  <c r="AH14"/>
  <c r="AM14" s="1"/>
  <c r="AD14"/>
  <c r="M14"/>
  <c r="N14" s="1"/>
  <c r="L14"/>
  <c r="H14"/>
  <c r="AD10"/>
  <c r="AA10"/>
  <c r="AJ9"/>
  <c r="AH9"/>
  <c r="AH10" s="1"/>
  <c r="AD9"/>
  <c r="X9"/>
  <c r="X10" s="1"/>
  <c r="H9"/>
  <c r="AE5"/>
  <c r="AD5"/>
  <c r="AB5"/>
  <c r="AA5"/>
  <c r="AB14" s="1"/>
  <c r="AB16" s="1"/>
  <c r="AJ4"/>
  <c r="AH4"/>
  <c r="AH5" s="1"/>
  <c r="AG4"/>
  <c r="AG5" s="1"/>
  <c r="AE4"/>
  <c r="AD4"/>
  <c r="AB4"/>
  <c r="X4"/>
  <c r="X5" s="1"/>
  <c r="H4"/>
  <c r="AA16" i="36"/>
  <c r="Q16"/>
  <c r="AJ15"/>
  <c r="AH15"/>
  <c r="AM15" s="1"/>
  <c r="X15"/>
  <c r="H15"/>
  <c r="L15" s="1"/>
  <c r="M15" s="1"/>
  <c r="AJ14"/>
  <c r="AH14"/>
  <c r="AM14" s="1"/>
  <c r="X14"/>
  <c r="X16" s="1"/>
  <c r="L14"/>
  <c r="M14" s="1"/>
  <c r="H14"/>
  <c r="H16" s="1"/>
  <c r="AA10"/>
  <c r="H10"/>
  <c r="AJ9"/>
  <c r="AH9"/>
  <c r="AH10" s="1"/>
  <c r="X9"/>
  <c r="X10" s="1"/>
  <c r="L9"/>
  <c r="M9" s="1"/>
  <c r="H9"/>
  <c r="AA5"/>
  <c r="AB14" s="1"/>
  <c r="AB16" s="1"/>
  <c r="H5"/>
  <c r="AJ4"/>
  <c r="AH4"/>
  <c r="AH5" s="1"/>
  <c r="X4"/>
  <c r="X5" s="1"/>
  <c r="L4"/>
  <c r="M4" s="1"/>
  <c r="H4"/>
  <c r="AE21" i="35"/>
  <c r="AA21"/>
  <c r="Q21"/>
  <c r="AJ20"/>
  <c r="AH20"/>
  <c r="AM20" s="1"/>
  <c r="AG20"/>
  <c r="AL20" s="1"/>
  <c r="AE20"/>
  <c r="AD20"/>
  <c r="AB20"/>
  <c r="X20"/>
  <c r="H20"/>
  <c r="L20" s="1"/>
  <c r="M20" s="1"/>
  <c r="AJ19"/>
  <c r="AH19"/>
  <c r="AM19" s="1"/>
  <c r="AE19"/>
  <c r="AD19"/>
  <c r="AG19" s="1"/>
  <c r="AB19"/>
  <c r="AB21" s="1"/>
  <c r="X19"/>
  <c r="X21" s="1"/>
  <c r="L19"/>
  <c r="M19" s="1"/>
  <c r="H19"/>
  <c r="H21" s="1"/>
  <c r="AE15"/>
  <c r="AD15"/>
  <c r="AA15"/>
  <c r="AJ14"/>
  <c r="AH14"/>
  <c r="AH15" s="1"/>
  <c r="AE14"/>
  <c r="AD14"/>
  <c r="AG14" s="1"/>
  <c r="AB14"/>
  <c r="AB15" s="1"/>
  <c r="X14"/>
  <c r="X15" s="1"/>
  <c r="H14"/>
  <c r="AE10"/>
  <c r="AD10"/>
  <c r="AA10"/>
  <c r="AJ9"/>
  <c r="AH9"/>
  <c r="AH10" s="1"/>
  <c r="AE9"/>
  <c r="AD9"/>
  <c r="AG9" s="1"/>
  <c r="AB9"/>
  <c r="AB10" s="1"/>
  <c r="X9"/>
  <c r="X10" s="1"/>
  <c r="H9"/>
  <c r="H5"/>
  <c r="H4"/>
  <c r="AA21" i="34"/>
  <c r="Q21"/>
  <c r="AJ20"/>
  <c r="AH20"/>
  <c r="AM20" s="1"/>
  <c r="AE20"/>
  <c r="AD20"/>
  <c r="AG20" s="1"/>
  <c r="AL20" s="1"/>
  <c r="AB20"/>
  <c r="X20"/>
  <c r="H20"/>
  <c r="L20" s="1"/>
  <c r="M20" s="1"/>
  <c r="AM19"/>
  <c r="AJ19"/>
  <c r="AH19"/>
  <c r="AH21" s="1"/>
  <c r="AE19"/>
  <c r="AE21" s="1"/>
  <c r="AD19"/>
  <c r="AG19" s="1"/>
  <c r="AB19"/>
  <c r="AB21" s="1"/>
  <c r="X19"/>
  <c r="X21" s="1"/>
  <c r="H19"/>
  <c r="H21" s="1"/>
  <c r="AH15"/>
  <c r="AA15"/>
  <c r="AM14"/>
  <c r="AJ14"/>
  <c r="AH14"/>
  <c r="AE14"/>
  <c r="AE15" s="1"/>
  <c r="AD14"/>
  <c r="AG14" s="1"/>
  <c r="AB14"/>
  <c r="AB15" s="1"/>
  <c r="X14"/>
  <c r="X15" s="1"/>
  <c r="L14"/>
  <c r="M14" s="1"/>
  <c r="H14"/>
  <c r="N14" s="1"/>
  <c r="AA10"/>
  <c r="AJ9"/>
  <c r="AH9"/>
  <c r="AM9" s="1"/>
  <c r="AE9"/>
  <c r="AE10" s="1"/>
  <c r="AD9"/>
  <c r="AG9" s="1"/>
  <c r="AB9"/>
  <c r="AB10" s="1"/>
  <c r="X9"/>
  <c r="X10" s="1"/>
  <c r="H9"/>
  <c r="H5"/>
  <c r="H4"/>
  <c r="Y20" i="33"/>
  <c r="Y19"/>
  <c r="X20"/>
  <c r="X19"/>
  <c r="W20"/>
  <c r="W19"/>
  <c r="V20"/>
  <c r="V19"/>
  <c r="AM20"/>
  <c r="AJ20"/>
  <c r="AH20"/>
  <c r="AE20"/>
  <c r="AD20"/>
  <c r="AG20" s="1"/>
  <c r="AL20" s="1"/>
  <c r="AB20"/>
  <c r="H20"/>
  <c r="L20" s="1"/>
  <c r="M20" s="1"/>
  <c r="AJ19"/>
  <c r="AH19"/>
  <c r="AH21" s="1"/>
  <c r="AE19"/>
  <c r="AE21" s="1"/>
  <c r="AD19"/>
  <c r="AB19"/>
  <c r="AB21" s="1"/>
  <c r="L19"/>
  <c r="M19" s="1"/>
  <c r="H19"/>
  <c r="AA21"/>
  <c r="Q21"/>
  <c r="H21"/>
  <c r="AH15"/>
  <c r="AE15"/>
  <c r="AA15"/>
  <c r="AJ14"/>
  <c r="AM14" s="1"/>
  <c r="AH14"/>
  <c r="AE14"/>
  <c r="AD14"/>
  <c r="AG14" s="1"/>
  <c r="AB14"/>
  <c r="AB15" s="1"/>
  <c r="X14"/>
  <c r="X15" s="1"/>
  <c r="H14"/>
  <c r="AA10"/>
  <c r="AB9" s="1"/>
  <c r="AB10" s="1"/>
  <c r="AJ9"/>
  <c r="AH9"/>
  <c r="AH10" s="1"/>
  <c r="AE9"/>
  <c r="AE10" s="1"/>
  <c r="AD9"/>
  <c r="AG9" s="1"/>
  <c r="X9"/>
  <c r="X10" s="1"/>
  <c r="H9"/>
  <c r="H5"/>
  <c r="H4"/>
  <c r="AA16" i="32"/>
  <c r="Q16"/>
  <c r="AM15"/>
  <c r="AJ15"/>
  <c r="AH15"/>
  <c r="X15"/>
  <c r="H15"/>
  <c r="L15" s="1"/>
  <c r="M15" s="1"/>
  <c r="AJ14"/>
  <c r="AH14"/>
  <c r="AM14" s="1"/>
  <c r="AE14"/>
  <c r="AE16" s="1"/>
  <c r="X14"/>
  <c r="H14"/>
  <c r="H16" s="1"/>
  <c r="AA10"/>
  <c r="AJ9"/>
  <c r="AH9"/>
  <c r="AH10" s="1"/>
  <c r="AE9"/>
  <c r="AE10" s="1"/>
  <c r="X9"/>
  <c r="X10" s="1"/>
  <c r="H9"/>
  <c r="AA5"/>
  <c r="AB14" s="1"/>
  <c r="AB16" s="1"/>
  <c r="AJ4"/>
  <c r="AH4"/>
  <c r="AH5" s="1"/>
  <c r="AE4"/>
  <c r="AE5" s="1"/>
  <c r="AD4"/>
  <c r="AG4" s="1"/>
  <c r="AB4"/>
  <c r="AB5" s="1"/>
  <c r="X4"/>
  <c r="X5" s="1"/>
  <c r="H4"/>
  <c r="X20" i="31"/>
  <c r="X19"/>
  <c r="W20"/>
  <c r="W19"/>
  <c r="V20"/>
  <c r="V19"/>
  <c r="W14"/>
  <c r="X14"/>
  <c r="W15"/>
  <c r="V14"/>
  <c r="V15" s="1"/>
  <c r="AA21"/>
  <c r="Q21"/>
  <c r="AJ20"/>
  <c r="AH20"/>
  <c r="AM20" s="1"/>
  <c r="AG20"/>
  <c r="AL20" s="1"/>
  <c r="AE20"/>
  <c r="AD20"/>
  <c r="AB20"/>
  <c r="H20"/>
  <c r="L20" s="1"/>
  <c r="M20" s="1"/>
  <c r="AJ19"/>
  <c r="AH19"/>
  <c r="AE19"/>
  <c r="AE21" s="1"/>
  <c r="AD19"/>
  <c r="AB19"/>
  <c r="AB21" s="1"/>
  <c r="H19"/>
  <c r="H21" s="1"/>
  <c r="AA15"/>
  <c r="AJ14"/>
  <c r="AH14"/>
  <c r="AH15" s="1"/>
  <c r="AE14"/>
  <c r="AE15" s="1"/>
  <c r="AD14"/>
  <c r="AB14"/>
  <c r="AB15" s="1"/>
  <c r="H14"/>
  <c r="H9"/>
  <c r="L9" s="1"/>
  <c r="M9" s="1"/>
  <c r="X9"/>
  <c r="AH9"/>
  <c r="AJ9"/>
  <c r="AA10"/>
  <c r="H4"/>
  <c r="AJ9" i="29"/>
  <c r="AH9"/>
  <c r="AM9" s="1"/>
  <c r="AE9"/>
  <c r="AD9"/>
  <c r="AB9"/>
  <c r="X9"/>
  <c r="X10" s="1"/>
  <c r="H9"/>
  <c r="L9" s="1"/>
  <c r="M9" s="1"/>
  <c r="AJ4"/>
  <c r="AH4"/>
  <c r="AM4" s="1"/>
  <c r="AE4"/>
  <c r="AG4" s="1"/>
  <c r="AL4" s="1"/>
  <c r="AD4"/>
  <c r="AB4"/>
  <c r="X4"/>
  <c r="H4"/>
  <c r="L4" s="1"/>
  <c r="M4" s="1"/>
  <c r="AA16"/>
  <c r="Q16"/>
  <c r="AJ15"/>
  <c r="AH15"/>
  <c r="AM15" s="1"/>
  <c r="X15"/>
  <c r="H15"/>
  <c r="L15" s="1"/>
  <c r="M15" s="1"/>
  <c r="AJ14"/>
  <c r="AH14"/>
  <c r="AM14" s="1"/>
  <c r="X14"/>
  <c r="X16" s="1"/>
  <c r="L14"/>
  <c r="M14" s="1"/>
  <c r="H14"/>
  <c r="H16" s="1"/>
  <c r="AA10"/>
  <c r="AA5"/>
  <c r="AE15" s="1"/>
  <c r="AH5"/>
  <c r="X5"/>
  <c r="Q16" i="28"/>
  <c r="M25" i="5"/>
  <c r="H25"/>
  <c r="M24"/>
  <c r="H24"/>
  <c r="M23"/>
  <c r="H23"/>
  <c r="M22"/>
  <c r="H22"/>
  <c r="M21"/>
  <c r="H21"/>
  <c r="W18"/>
  <c r="V18"/>
  <c r="U18"/>
  <c r="T18"/>
  <c r="R18"/>
  <c r="Q18"/>
  <c r="G18"/>
  <c r="W17"/>
  <c r="V17"/>
  <c r="U17"/>
  <c r="T17"/>
  <c r="R17"/>
  <c r="Q17"/>
  <c r="P17"/>
  <c r="O17"/>
  <c r="N17"/>
  <c r="M17"/>
  <c r="L17"/>
  <c r="K17"/>
  <c r="G17"/>
  <c r="W16"/>
  <c r="V16"/>
  <c r="U16"/>
  <c r="T16"/>
  <c r="R16"/>
  <c r="Q16"/>
  <c r="P16"/>
  <c r="O16"/>
  <c r="N16"/>
  <c r="M16"/>
  <c r="L16"/>
  <c r="K16"/>
  <c r="G16"/>
  <c r="W15"/>
  <c r="V15"/>
  <c r="U15"/>
  <c r="T15"/>
  <c r="R15"/>
  <c r="Q15"/>
  <c r="P15"/>
  <c r="O15"/>
  <c r="N15"/>
  <c r="M15"/>
  <c r="L15"/>
  <c r="K15"/>
  <c r="G15"/>
  <c r="W14"/>
  <c r="V14"/>
  <c r="U14"/>
  <c r="T14"/>
  <c r="R14"/>
  <c r="Q14"/>
  <c r="P14"/>
  <c r="O14"/>
  <c r="N14"/>
  <c r="M14"/>
  <c r="L14"/>
  <c r="K14"/>
  <c r="G14"/>
  <c r="W13"/>
  <c r="V13"/>
  <c r="U13"/>
  <c r="T13"/>
  <c r="R13"/>
  <c r="Q13"/>
  <c r="P13"/>
  <c r="O13"/>
  <c r="N13"/>
  <c r="M13"/>
  <c r="L13"/>
  <c r="K13"/>
  <c r="G13"/>
  <c r="W12"/>
  <c r="V12"/>
  <c r="U12"/>
  <c r="T12"/>
  <c r="R12"/>
  <c r="Q12"/>
  <c r="P12"/>
  <c r="O12"/>
  <c r="N12"/>
  <c r="M12"/>
  <c r="L12"/>
  <c r="K12"/>
  <c r="G12"/>
  <c r="W11"/>
  <c r="V11"/>
  <c r="U11"/>
  <c r="T11"/>
  <c r="R11"/>
  <c r="Q11"/>
  <c r="P11"/>
  <c r="O11"/>
  <c r="N11"/>
  <c r="M11"/>
  <c r="L11"/>
  <c r="K11"/>
  <c r="G11"/>
  <c r="W10"/>
  <c r="V10"/>
  <c r="U10"/>
  <c r="T10"/>
  <c r="R10"/>
  <c r="Q10"/>
  <c r="P10"/>
  <c r="O10"/>
  <c r="N10"/>
  <c r="M10"/>
  <c r="L10"/>
  <c r="K10"/>
  <c r="G10"/>
  <c r="W9"/>
  <c r="V9"/>
  <c r="U9"/>
  <c r="T9"/>
  <c r="R9"/>
  <c r="Q9"/>
  <c r="P9"/>
  <c r="O9"/>
  <c r="N9"/>
  <c r="M9"/>
  <c r="L9"/>
  <c r="K9"/>
  <c r="G9"/>
  <c r="W8"/>
  <c r="V8"/>
  <c r="U8"/>
  <c r="T8"/>
  <c r="R8"/>
  <c r="Q8"/>
  <c r="P8"/>
  <c r="O8"/>
  <c r="N8"/>
  <c r="M8"/>
  <c r="L8"/>
  <c r="K8"/>
  <c r="G8"/>
  <c r="W7"/>
  <c r="V7"/>
  <c r="U7"/>
  <c r="T7"/>
  <c r="R7"/>
  <c r="Q7"/>
  <c r="P7"/>
  <c r="O7"/>
  <c r="N7"/>
  <c r="M7"/>
  <c r="L7"/>
  <c r="K7"/>
  <c r="G7"/>
  <c r="W6"/>
  <c r="V6"/>
  <c r="U6"/>
  <c r="T6"/>
  <c r="R6"/>
  <c r="Q6"/>
  <c r="P6"/>
  <c r="O6"/>
  <c r="N6"/>
  <c r="M6"/>
  <c r="L6"/>
  <c r="K6"/>
  <c r="G6"/>
  <c r="W5"/>
  <c r="V5"/>
  <c r="U5"/>
  <c r="T5"/>
  <c r="R5"/>
  <c r="Q5"/>
  <c r="P5"/>
  <c r="O5"/>
  <c r="N5"/>
  <c r="M5"/>
  <c r="L5"/>
  <c r="K5"/>
  <c r="G5"/>
  <c r="W4"/>
  <c r="V4"/>
  <c r="U4"/>
  <c r="T4"/>
  <c r="R4"/>
  <c r="Q4"/>
  <c r="P4"/>
  <c r="O4"/>
  <c r="N4"/>
  <c r="M4"/>
  <c r="L4"/>
  <c r="K4"/>
  <c r="G4"/>
  <c r="W3"/>
  <c r="V3"/>
  <c r="U3"/>
  <c r="T3"/>
  <c r="R3"/>
  <c r="Q3"/>
  <c r="P3"/>
  <c r="O3"/>
  <c r="N3"/>
  <c r="M3"/>
  <c r="L3"/>
  <c r="K3"/>
  <c r="G3"/>
  <c r="M25" i="6"/>
  <c r="H25"/>
  <c r="M24"/>
  <c r="H24"/>
  <c r="M23"/>
  <c r="H23"/>
  <c r="M22"/>
  <c r="H22"/>
  <c r="M21"/>
  <c r="H21"/>
  <c r="V18"/>
  <c r="U18"/>
  <c r="T18"/>
  <c r="R18"/>
  <c r="Q18"/>
  <c r="G18"/>
  <c r="W17"/>
  <c r="V17"/>
  <c r="U17"/>
  <c r="T17"/>
  <c r="R17"/>
  <c r="Q17"/>
  <c r="P17"/>
  <c r="O17"/>
  <c r="N17"/>
  <c r="M17"/>
  <c r="L17"/>
  <c r="K17"/>
  <c r="G17"/>
  <c r="W16"/>
  <c r="V16"/>
  <c r="U16"/>
  <c r="T16"/>
  <c r="R16"/>
  <c r="Q16"/>
  <c r="P16"/>
  <c r="O16"/>
  <c r="N16"/>
  <c r="M16"/>
  <c r="L16"/>
  <c r="K16"/>
  <c r="G16"/>
  <c r="W15"/>
  <c r="V15"/>
  <c r="U15"/>
  <c r="T15"/>
  <c r="R15"/>
  <c r="Q15"/>
  <c r="P15"/>
  <c r="O15"/>
  <c r="N15"/>
  <c r="M15"/>
  <c r="L15"/>
  <c r="K15"/>
  <c r="G15"/>
  <c r="W14"/>
  <c r="V14"/>
  <c r="U14"/>
  <c r="T14"/>
  <c r="R14"/>
  <c r="Q14"/>
  <c r="P14"/>
  <c r="O14"/>
  <c r="N14"/>
  <c r="M14"/>
  <c r="L14"/>
  <c r="K14"/>
  <c r="G14"/>
  <c r="W13"/>
  <c r="V13"/>
  <c r="U13"/>
  <c r="T13"/>
  <c r="R13"/>
  <c r="Q13"/>
  <c r="P13"/>
  <c r="O13"/>
  <c r="N13"/>
  <c r="M13"/>
  <c r="L13"/>
  <c r="K13"/>
  <c r="G13"/>
  <c r="W12"/>
  <c r="V12"/>
  <c r="U12"/>
  <c r="T12"/>
  <c r="R12"/>
  <c r="Q12"/>
  <c r="P12"/>
  <c r="O12"/>
  <c r="N12"/>
  <c r="M12"/>
  <c r="L12"/>
  <c r="K12"/>
  <c r="G12"/>
  <c r="W11"/>
  <c r="V11"/>
  <c r="U11"/>
  <c r="T11"/>
  <c r="R11"/>
  <c r="Q11"/>
  <c r="P11"/>
  <c r="O11"/>
  <c r="N11"/>
  <c r="M11"/>
  <c r="L11"/>
  <c r="K11"/>
  <c r="G11"/>
  <c r="W10"/>
  <c r="V10"/>
  <c r="U10"/>
  <c r="T10"/>
  <c r="R10"/>
  <c r="Q10"/>
  <c r="P10"/>
  <c r="O10"/>
  <c r="N10"/>
  <c r="M10"/>
  <c r="L10"/>
  <c r="K10"/>
  <c r="G10"/>
  <c r="W9"/>
  <c r="V9"/>
  <c r="U9"/>
  <c r="T9"/>
  <c r="R9"/>
  <c r="Q9"/>
  <c r="P9"/>
  <c r="O9"/>
  <c r="N9"/>
  <c r="M9"/>
  <c r="L9"/>
  <c r="K9"/>
  <c r="G9"/>
  <c r="W8"/>
  <c r="V8"/>
  <c r="U8"/>
  <c r="T8"/>
  <c r="R8"/>
  <c r="Q8"/>
  <c r="P8"/>
  <c r="O8"/>
  <c r="N8"/>
  <c r="M8"/>
  <c r="L8"/>
  <c r="K8"/>
  <c r="G8"/>
  <c r="W7"/>
  <c r="V7"/>
  <c r="U7"/>
  <c r="T7"/>
  <c r="R7"/>
  <c r="Q7"/>
  <c r="P7"/>
  <c r="O7"/>
  <c r="N7"/>
  <c r="M7"/>
  <c r="L7"/>
  <c r="K7"/>
  <c r="G7"/>
  <c r="W6"/>
  <c r="V6"/>
  <c r="U6"/>
  <c r="T6"/>
  <c r="R6"/>
  <c r="Q6"/>
  <c r="P6"/>
  <c r="O6"/>
  <c r="N6"/>
  <c r="M6"/>
  <c r="L6"/>
  <c r="K6"/>
  <c r="G6"/>
  <c r="W5"/>
  <c r="V5"/>
  <c r="U5"/>
  <c r="T5"/>
  <c r="R5"/>
  <c r="Q5"/>
  <c r="P5"/>
  <c r="O5"/>
  <c r="N5"/>
  <c r="M5"/>
  <c r="L5"/>
  <c r="K5"/>
  <c r="G5"/>
  <c r="W4"/>
  <c r="V4"/>
  <c r="U4"/>
  <c r="T4"/>
  <c r="R4"/>
  <c r="Q4"/>
  <c r="P4"/>
  <c r="O4"/>
  <c r="N4"/>
  <c r="M4"/>
  <c r="L4"/>
  <c r="K4"/>
  <c r="G4"/>
  <c r="W3"/>
  <c r="V3"/>
  <c r="U3"/>
  <c r="T3"/>
  <c r="R3"/>
  <c r="Q3"/>
  <c r="P3"/>
  <c r="O3"/>
  <c r="N3"/>
  <c r="M3"/>
  <c r="L3"/>
  <c r="K3"/>
  <c r="G3"/>
  <c r="I24" i="4"/>
  <c r="I23"/>
  <c r="I22"/>
  <c r="I21"/>
  <c r="I20"/>
  <c r="V18"/>
  <c r="U18"/>
  <c r="S18"/>
  <c r="R18"/>
  <c r="H18"/>
  <c r="W17"/>
  <c r="V17"/>
  <c r="U17"/>
  <c r="S17"/>
  <c r="R17"/>
  <c r="Q17"/>
  <c r="P17"/>
  <c r="O17"/>
  <c r="N17"/>
  <c r="M17"/>
  <c r="L17"/>
  <c r="H17"/>
  <c r="W16"/>
  <c r="V16"/>
  <c r="U16"/>
  <c r="S16"/>
  <c r="R16"/>
  <c r="Q16"/>
  <c r="P16"/>
  <c r="O16"/>
  <c r="N16"/>
  <c r="M16"/>
  <c r="L16"/>
  <c r="H16"/>
  <c r="W15"/>
  <c r="V15"/>
  <c r="U15"/>
  <c r="S15"/>
  <c r="R15"/>
  <c r="Q15"/>
  <c r="P15"/>
  <c r="O15"/>
  <c r="N15"/>
  <c r="M15"/>
  <c r="L15"/>
  <c r="H15"/>
  <c r="W14"/>
  <c r="V14"/>
  <c r="U14"/>
  <c r="S14"/>
  <c r="R14"/>
  <c r="Q14"/>
  <c r="P14"/>
  <c r="O14"/>
  <c r="N14"/>
  <c r="M14"/>
  <c r="L14"/>
  <c r="H14"/>
  <c r="W13"/>
  <c r="V13"/>
  <c r="U13"/>
  <c r="S13"/>
  <c r="R13"/>
  <c r="Q13"/>
  <c r="P13"/>
  <c r="O13"/>
  <c r="N13"/>
  <c r="M13"/>
  <c r="L13"/>
  <c r="H13"/>
  <c r="W12"/>
  <c r="V12"/>
  <c r="U12"/>
  <c r="S12"/>
  <c r="R12"/>
  <c r="Q12"/>
  <c r="P12"/>
  <c r="O12"/>
  <c r="N12"/>
  <c r="M12"/>
  <c r="L12"/>
  <c r="H12"/>
  <c r="W11"/>
  <c r="V11"/>
  <c r="U11"/>
  <c r="S11"/>
  <c r="R11"/>
  <c r="Q11"/>
  <c r="P11"/>
  <c r="O11"/>
  <c r="N11"/>
  <c r="M11"/>
  <c r="L11"/>
  <c r="H11"/>
  <c r="W10"/>
  <c r="V10"/>
  <c r="U10"/>
  <c r="S10"/>
  <c r="R10"/>
  <c r="Q10"/>
  <c r="P10"/>
  <c r="O10"/>
  <c r="N10"/>
  <c r="M10"/>
  <c r="L10"/>
  <c r="H10"/>
  <c r="W9"/>
  <c r="V9"/>
  <c r="U9"/>
  <c r="S9"/>
  <c r="R9"/>
  <c r="Q9"/>
  <c r="P9"/>
  <c r="O9"/>
  <c r="N9"/>
  <c r="M9"/>
  <c r="L9"/>
  <c r="H9"/>
  <c r="W8"/>
  <c r="V8"/>
  <c r="U8"/>
  <c r="S8"/>
  <c r="R8"/>
  <c r="Q8"/>
  <c r="P8"/>
  <c r="O8"/>
  <c r="N8"/>
  <c r="M8"/>
  <c r="L8"/>
  <c r="H8"/>
  <c r="W7"/>
  <c r="V7"/>
  <c r="U7"/>
  <c r="S7"/>
  <c r="R7"/>
  <c r="Q7"/>
  <c r="P7"/>
  <c r="O7"/>
  <c r="N7"/>
  <c r="M7"/>
  <c r="L7"/>
  <c r="H7"/>
  <c r="W6"/>
  <c r="V6"/>
  <c r="U6"/>
  <c r="S6"/>
  <c r="R6"/>
  <c r="Q6"/>
  <c r="P6"/>
  <c r="O6"/>
  <c r="N6"/>
  <c r="M6"/>
  <c r="L6"/>
  <c r="H6"/>
  <c r="W5"/>
  <c r="V5"/>
  <c r="U5"/>
  <c r="S5"/>
  <c r="R5"/>
  <c r="Q5"/>
  <c r="P5"/>
  <c r="O5"/>
  <c r="N5"/>
  <c r="M5"/>
  <c r="L5"/>
  <c r="H5"/>
  <c r="W4"/>
  <c r="V4"/>
  <c r="U4"/>
  <c r="S4"/>
  <c r="R4"/>
  <c r="Q4"/>
  <c r="P4"/>
  <c r="O4"/>
  <c r="N4"/>
  <c r="M4"/>
  <c r="L4"/>
  <c r="H4"/>
  <c r="W3"/>
  <c r="V3"/>
  <c r="U3"/>
  <c r="S3"/>
  <c r="R3"/>
  <c r="Q3"/>
  <c r="P3"/>
  <c r="O3"/>
  <c r="N3"/>
  <c r="M3"/>
  <c r="L3"/>
  <c r="H3"/>
  <c r="N59" i="20"/>
  <c r="M59"/>
  <c r="L59"/>
  <c r="K59"/>
  <c r="N58"/>
  <c r="M58"/>
  <c r="L58"/>
  <c r="K58"/>
  <c r="N57"/>
  <c r="M57"/>
  <c r="L57"/>
  <c r="K57"/>
  <c r="N56"/>
  <c r="M56"/>
  <c r="L56"/>
  <c r="K56"/>
  <c r="N55"/>
  <c r="M55"/>
  <c r="L55"/>
  <c r="K55"/>
  <c r="N54"/>
  <c r="M54"/>
  <c r="L54"/>
  <c r="K54"/>
  <c r="N53"/>
  <c r="M53"/>
  <c r="L53"/>
  <c r="K53"/>
  <c r="N52"/>
  <c r="M52"/>
  <c r="L52"/>
  <c r="K52"/>
  <c r="N51"/>
  <c r="M51"/>
  <c r="L51"/>
  <c r="K51"/>
  <c r="N50"/>
  <c r="M50"/>
  <c r="L50"/>
  <c r="K50"/>
  <c r="N49"/>
  <c r="M49"/>
  <c r="L49"/>
  <c r="K49"/>
  <c r="N48"/>
  <c r="M48"/>
  <c r="L48"/>
  <c r="K48"/>
  <c r="N47"/>
  <c r="M47"/>
  <c r="L47"/>
  <c r="K47"/>
  <c r="N46"/>
  <c r="M46"/>
  <c r="L46"/>
  <c r="K46"/>
  <c r="N45"/>
  <c r="M45"/>
  <c r="L45"/>
  <c r="K45"/>
  <c r="D33"/>
  <c r="D32"/>
  <c r="D31"/>
  <c r="D30"/>
  <c r="D29"/>
  <c r="G28"/>
  <c r="AH25"/>
  <c r="AG25"/>
  <c r="AF25"/>
  <c r="AE25"/>
  <c r="AD25"/>
  <c r="AB25"/>
  <c r="AA25"/>
  <c r="Z25"/>
  <c r="Y25"/>
  <c r="X25"/>
  <c r="W25"/>
  <c r="V25"/>
  <c r="S25"/>
  <c r="R25"/>
  <c r="H25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AO22"/>
  <c r="AM22"/>
  <c r="AL22"/>
  <c r="AK22"/>
  <c r="AJ22"/>
  <c r="AH22"/>
  <c r="AG22"/>
  <c r="AF22"/>
  <c r="AE22"/>
  <c r="AD22"/>
  <c r="AB22"/>
  <c r="Z22"/>
  <c r="Y22"/>
  <c r="X22"/>
  <c r="W22"/>
  <c r="V22"/>
  <c r="S22"/>
  <c r="R22"/>
  <c r="Q22"/>
  <c r="P22"/>
  <c r="O22"/>
  <c r="N22"/>
  <c r="M22"/>
  <c r="L22"/>
  <c r="H22"/>
  <c r="AO21"/>
  <c r="AM21"/>
  <c r="AL21"/>
  <c r="AK21"/>
  <c r="AJ21"/>
  <c r="AH21"/>
  <c r="AG21"/>
  <c r="AF21"/>
  <c r="AE21"/>
  <c r="AD21"/>
  <c r="AB21"/>
  <c r="Z21"/>
  <c r="Y21"/>
  <c r="X21"/>
  <c r="W21"/>
  <c r="V21"/>
  <c r="S21"/>
  <c r="R21"/>
  <c r="Q21"/>
  <c r="P21"/>
  <c r="O21"/>
  <c r="N21"/>
  <c r="M21"/>
  <c r="L21"/>
  <c r="H21"/>
  <c r="AO20"/>
  <c r="AM20"/>
  <c r="AL20"/>
  <c r="AK20"/>
  <c r="AJ20"/>
  <c r="AH20"/>
  <c r="AG20"/>
  <c r="AF20"/>
  <c r="AE20"/>
  <c r="AD20"/>
  <c r="AB20"/>
  <c r="Z20"/>
  <c r="Y20"/>
  <c r="X20"/>
  <c r="W20"/>
  <c r="V20"/>
  <c r="S20"/>
  <c r="R20"/>
  <c r="Q20"/>
  <c r="P20"/>
  <c r="O20"/>
  <c r="N20"/>
  <c r="M20"/>
  <c r="L20"/>
  <c r="H20"/>
  <c r="AO19"/>
  <c r="AM19"/>
  <c r="AL19"/>
  <c r="AK19"/>
  <c r="AJ19"/>
  <c r="AH19"/>
  <c r="AG19"/>
  <c r="AF19"/>
  <c r="AE19"/>
  <c r="AD19"/>
  <c r="AB19"/>
  <c r="Z19"/>
  <c r="Y19"/>
  <c r="X19"/>
  <c r="W19"/>
  <c r="V19"/>
  <c r="S19"/>
  <c r="R19"/>
  <c r="Q19"/>
  <c r="P19"/>
  <c r="O19"/>
  <c r="N19"/>
  <c r="M19"/>
  <c r="L19"/>
  <c r="H19"/>
  <c r="AO18"/>
  <c r="AM18"/>
  <c r="AL18"/>
  <c r="AK18"/>
  <c r="AJ18"/>
  <c r="AH18"/>
  <c r="AG18"/>
  <c r="AF18"/>
  <c r="AE18"/>
  <c r="AD18"/>
  <c r="AB18"/>
  <c r="Z18"/>
  <c r="Y18"/>
  <c r="X18"/>
  <c r="W18"/>
  <c r="V18"/>
  <c r="S18"/>
  <c r="R18"/>
  <c r="Q18"/>
  <c r="P18"/>
  <c r="O18"/>
  <c r="N18"/>
  <c r="M18"/>
  <c r="L18"/>
  <c r="H18"/>
  <c r="AO17"/>
  <c r="AM17"/>
  <c r="AL17"/>
  <c r="AK17"/>
  <c r="AJ17"/>
  <c r="AH17"/>
  <c r="AG17"/>
  <c r="AF17"/>
  <c r="AE17"/>
  <c r="AD17"/>
  <c r="AB17"/>
  <c r="Z17"/>
  <c r="Y17"/>
  <c r="X17"/>
  <c r="W17"/>
  <c r="V17"/>
  <c r="S17"/>
  <c r="R17"/>
  <c r="Q17"/>
  <c r="P17"/>
  <c r="O17"/>
  <c r="N17"/>
  <c r="M17"/>
  <c r="L17"/>
  <c r="H17"/>
  <c r="AO16"/>
  <c r="AM16"/>
  <c r="AL16"/>
  <c r="AK16"/>
  <c r="AJ16"/>
  <c r="AH16"/>
  <c r="AG16"/>
  <c r="AF16"/>
  <c r="AE16"/>
  <c r="AD16"/>
  <c r="AB16"/>
  <c r="Z16"/>
  <c r="Y16"/>
  <c r="X16"/>
  <c r="W16"/>
  <c r="V16"/>
  <c r="S16"/>
  <c r="R16"/>
  <c r="Q16"/>
  <c r="P16"/>
  <c r="O16"/>
  <c r="N16"/>
  <c r="M16"/>
  <c r="L16"/>
  <c r="H16"/>
  <c r="AO15"/>
  <c r="AM15"/>
  <c r="AL15"/>
  <c r="AK15"/>
  <c r="AJ15"/>
  <c r="AH15"/>
  <c r="AG15"/>
  <c r="AF15"/>
  <c r="AE15"/>
  <c r="AD15"/>
  <c r="AB15"/>
  <c r="Z15"/>
  <c r="Y15"/>
  <c r="X15"/>
  <c r="W15"/>
  <c r="V15"/>
  <c r="S15"/>
  <c r="R15"/>
  <c r="Q15"/>
  <c r="P15"/>
  <c r="O15"/>
  <c r="N15"/>
  <c r="M15"/>
  <c r="L15"/>
  <c r="H15"/>
  <c r="AO14"/>
  <c r="AM14"/>
  <c r="AL14"/>
  <c r="AK14"/>
  <c r="AJ14"/>
  <c r="AH14"/>
  <c r="AG14"/>
  <c r="AF14"/>
  <c r="AE14"/>
  <c r="AD14"/>
  <c r="AB14"/>
  <c r="Z14"/>
  <c r="Y14"/>
  <c r="X14"/>
  <c r="W14"/>
  <c r="V14"/>
  <c r="S14"/>
  <c r="R14"/>
  <c r="Q14"/>
  <c r="P14"/>
  <c r="O14"/>
  <c r="N14"/>
  <c r="M14"/>
  <c r="L14"/>
  <c r="H14"/>
  <c r="AO13"/>
  <c r="AM13"/>
  <c r="AL13"/>
  <c r="AK13"/>
  <c r="AJ13"/>
  <c r="AH13"/>
  <c r="AG13"/>
  <c r="AF13"/>
  <c r="AE13"/>
  <c r="AD13"/>
  <c r="AB13"/>
  <c r="Z13"/>
  <c r="Y13"/>
  <c r="X13"/>
  <c r="W13"/>
  <c r="V13"/>
  <c r="S13"/>
  <c r="R13"/>
  <c r="Q13"/>
  <c r="P13"/>
  <c r="O13"/>
  <c r="N13"/>
  <c r="M13"/>
  <c r="L13"/>
  <c r="H13"/>
  <c r="AO12"/>
  <c r="AM12"/>
  <c r="AL12"/>
  <c r="AK12"/>
  <c r="AJ12"/>
  <c r="AH12"/>
  <c r="AG12"/>
  <c r="AF12"/>
  <c r="AE12"/>
  <c r="AD12"/>
  <c r="AB12"/>
  <c r="Z12"/>
  <c r="Y12"/>
  <c r="X12"/>
  <c r="W12"/>
  <c r="V12"/>
  <c r="S12"/>
  <c r="R12"/>
  <c r="Q12"/>
  <c r="P12"/>
  <c r="O12"/>
  <c r="N12"/>
  <c r="M12"/>
  <c r="L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H6"/>
  <c r="H5"/>
  <c r="H4"/>
  <c r="N72" i="1"/>
  <c r="M72"/>
  <c r="L72"/>
  <c r="K72"/>
  <c r="N71"/>
  <c r="M71"/>
  <c r="L71"/>
  <c r="K71"/>
  <c r="N70"/>
  <c r="M70"/>
  <c r="L70"/>
  <c r="K70"/>
  <c r="N69"/>
  <c r="M69"/>
  <c r="L69"/>
  <c r="K69"/>
  <c r="N68"/>
  <c r="M68"/>
  <c r="L68"/>
  <c r="K68"/>
  <c r="N67"/>
  <c r="M67"/>
  <c r="L67"/>
  <c r="K67"/>
  <c r="N66"/>
  <c r="M66"/>
  <c r="L66"/>
  <c r="K66"/>
  <c r="N65"/>
  <c r="M65"/>
  <c r="L65"/>
  <c r="K65"/>
  <c r="N64"/>
  <c r="M64"/>
  <c r="L64"/>
  <c r="K64"/>
  <c r="N63"/>
  <c r="M63"/>
  <c r="L63"/>
  <c r="K63"/>
  <c r="N62"/>
  <c r="M62"/>
  <c r="L62"/>
  <c r="K62"/>
  <c r="N61"/>
  <c r="M61"/>
  <c r="L61"/>
  <c r="K61"/>
  <c r="N60"/>
  <c r="M60"/>
  <c r="L60"/>
  <c r="K60"/>
  <c r="N59"/>
  <c r="M59"/>
  <c r="L59"/>
  <c r="K59"/>
  <c r="N58"/>
  <c r="M58"/>
  <c r="L58"/>
  <c r="K58"/>
  <c r="D46"/>
  <c r="D45"/>
  <c r="D44"/>
  <c r="D43"/>
  <c r="D42"/>
  <c r="G41"/>
  <c r="AH38"/>
  <c r="AG38"/>
  <c r="AF38"/>
  <c r="AE38"/>
  <c r="AD38"/>
  <c r="AB38"/>
  <c r="AA38"/>
  <c r="Z38"/>
  <c r="Y38"/>
  <c r="X38"/>
  <c r="W38"/>
  <c r="V38"/>
  <c r="S38"/>
  <c r="R38"/>
  <c r="H38"/>
  <c r="AO37"/>
  <c r="AM37"/>
  <c r="AL37"/>
  <c r="AK37"/>
  <c r="AJ37"/>
  <c r="AH37"/>
  <c r="AG37"/>
  <c r="AF37"/>
  <c r="AE37"/>
  <c r="AD37"/>
  <c r="AB37"/>
  <c r="Z37"/>
  <c r="Y37"/>
  <c r="X37"/>
  <c r="W37"/>
  <c r="V37"/>
  <c r="S37"/>
  <c r="R37"/>
  <c r="Q37"/>
  <c r="P37"/>
  <c r="O37"/>
  <c r="N37"/>
  <c r="M37"/>
  <c r="L37"/>
  <c r="H37"/>
  <c r="AO36"/>
  <c r="AM36"/>
  <c r="AL36"/>
  <c r="AK36"/>
  <c r="AJ36"/>
  <c r="AH36"/>
  <c r="AG36"/>
  <c r="AF36"/>
  <c r="AE36"/>
  <c r="AD36"/>
  <c r="AB36"/>
  <c r="Z36"/>
  <c r="Y36"/>
  <c r="X36"/>
  <c r="W36"/>
  <c r="V36"/>
  <c r="S36"/>
  <c r="R36"/>
  <c r="Q36"/>
  <c r="P36"/>
  <c r="O36"/>
  <c r="N36"/>
  <c r="M36"/>
  <c r="L36"/>
  <c r="H36"/>
  <c r="AO35"/>
  <c r="AM35"/>
  <c r="AL35"/>
  <c r="AK35"/>
  <c r="AJ35"/>
  <c r="AH35"/>
  <c r="AG35"/>
  <c r="AF35"/>
  <c r="AE35"/>
  <c r="AD35"/>
  <c r="AB35"/>
  <c r="Z35"/>
  <c r="Y35"/>
  <c r="X35"/>
  <c r="W35"/>
  <c r="V35"/>
  <c r="S35"/>
  <c r="R35"/>
  <c r="Q35"/>
  <c r="P35"/>
  <c r="O35"/>
  <c r="N35"/>
  <c r="M35"/>
  <c r="L35"/>
  <c r="H35"/>
  <c r="AO34"/>
  <c r="AM34"/>
  <c r="AL34"/>
  <c r="AK34"/>
  <c r="AJ34"/>
  <c r="AH34"/>
  <c r="AG34"/>
  <c r="AF34"/>
  <c r="AE34"/>
  <c r="AD34"/>
  <c r="AB34"/>
  <c r="Z34"/>
  <c r="Y34"/>
  <c r="X34"/>
  <c r="W34"/>
  <c r="V34"/>
  <c r="S34"/>
  <c r="R34"/>
  <c r="Q34"/>
  <c r="P34"/>
  <c r="O34"/>
  <c r="N34"/>
  <c r="M34"/>
  <c r="L34"/>
  <c r="H34"/>
  <c r="AO33"/>
  <c r="AM33"/>
  <c r="AL33"/>
  <c r="AK33"/>
  <c r="AJ33"/>
  <c r="AH33"/>
  <c r="AG33"/>
  <c r="AF33"/>
  <c r="AE33"/>
  <c r="AD33"/>
  <c r="AB33"/>
  <c r="Z33"/>
  <c r="Y33"/>
  <c r="X33"/>
  <c r="W33"/>
  <c r="V33"/>
  <c r="S33"/>
  <c r="R33"/>
  <c r="Q33"/>
  <c r="P33"/>
  <c r="O33"/>
  <c r="N33"/>
  <c r="M33"/>
  <c r="L33"/>
  <c r="H33"/>
  <c r="AO32"/>
  <c r="AM32"/>
  <c r="AL32"/>
  <c r="AK32"/>
  <c r="AJ32"/>
  <c r="AH32"/>
  <c r="AG32"/>
  <c r="AF32"/>
  <c r="AE32"/>
  <c r="AD32"/>
  <c r="AB32"/>
  <c r="Z32"/>
  <c r="Y32"/>
  <c r="X32"/>
  <c r="W32"/>
  <c r="V32"/>
  <c r="S32"/>
  <c r="R32"/>
  <c r="Q32"/>
  <c r="P32"/>
  <c r="O32"/>
  <c r="N32"/>
  <c r="M32"/>
  <c r="L32"/>
  <c r="H32"/>
  <c r="AO31"/>
  <c r="AM31"/>
  <c r="AL31"/>
  <c r="AK31"/>
  <c r="AJ31"/>
  <c r="AH31"/>
  <c r="AG31"/>
  <c r="AF31"/>
  <c r="AE31"/>
  <c r="AD31"/>
  <c r="AB31"/>
  <c r="Z31"/>
  <c r="Y31"/>
  <c r="X31"/>
  <c r="W31"/>
  <c r="V31"/>
  <c r="S31"/>
  <c r="R31"/>
  <c r="Q31"/>
  <c r="P31"/>
  <c r="O31"/>
  <c r="N31"/>
  <c r="M31"/>
  <c r="L31"/>
  <c r="H31"/>
  <c r="AO30"/>
  <c r="AM30"/>
  <c r="AL30"/>
  <c r="AK30"/>
  <c r="AJ30"/>
  <c r="AH30"/>
  <c r="AG30"/>
  <c r="AF30"/>
  <c r="AE30"/>
  <c r="AD30"/>
  <c r="AB30"/>
  <c r="Z30"/>
  <c r="Y30"/>
  <c r="X30"/>
  <c r="W30"/>
  <c r="V30"/>
  <c r="S30"/>
  <c r="R30"/>
  <c r="Q30"/>
  <c r="P30"/>
  <c r="O30"/>
  <c r="N30"/>
  <c r="M30"/>
  <c r="L30"/>
  <c r="H30"/>
  <c r="AO29"/>
  <c r="AM29"/>
  <c r="AL29"/>
  <c r="AK29"/>
  <c r="AJ29"/>
  <c r="AH29"/>
  <c r="AG29"/>
  <c r="AF29"/>
  <c r="AE29"/>
  <c r="AD29"/>
  <c r="AB29"/>
  <c r="Z29"/>
  <c r="Y29"/>
  <c r="X29"/>
  <c r="W29"/>
  <c r="V29"/>
  <c r="S29"/>
  <c r="R29"/>
  <c r="Q29"/>
  <c r="P29"/>
  <c r="O29"/>
  <c r="N29"/>
  <c r="M29"/>
  <c r="L29"/>
  <c r="H29"/>
  <c r="AO28"/>
  <c r="AM28"/>
  <c r="AL28"/>
  <c r="AK28"/>
  <c r="AJ28"/>
  <c r="AH28"/>
  <c r="AG28"/>
  <c r="AF28"/>
  <c r="AE28"/>
  <c r="AD28"/>
  <c r="AB28"/>
  <c r="Z28"/>
  <c r="Y28"/>
  <c r="X28"/>
  <c r="W28"/>
  <c r="V28"/>
  <c r="S28"/>
  <c r="R28"/>
  <c r="Q28"/>
  <c r="P28"/>
  <c r="O28"/>
  <c r="N28"/>
  <c r="M28"/>
  <c r="L28"/>
  <c r="H28"/>
  <c r="AO27"/>
  <c r="AM27"/>
  <c r="AL27"/>
  <c r="AK27"/>
  <c r="AJ27"/>
  <c r="AH27"/>
  <c r="AG27"/>
  <c r="AF27"/>
  <c r="AE27"/>
  <c r="AD27"/>
  <c r="AB27"/>
  <c r="Z27"/>
  <c r="Y27"/>
  <c r="X27"/>
  <c r="W27"/>
  <c r="V27"/>
  <c r="S27"/>
  <c r="R27"/>
  <c r="Q27"/>
  <c r="P27"/>
  <c r="O27"/>
  <c r="N27"/>
  <c r="M27"/>
  <c r="L27"/>
  <c r="H27"/>
  <c r="AO26"/>
  <c r="AM26"/>
  <c r="AL26"/>
  <c r="AK26"/>
  <c r="AJ26"/>
  <c r="AH26"/>
  <c r="AG26"/>
  <c r="AF26"/>
  <c r="AE26"/>
  <c r="AD26"/>
  <c r="AB26"/>
  <c r="Z26"/>
  <c r="Y26"/>
  <c r="X26"/>
  <c r="W26"/>
  <c r="V26"/>
  <c r="S26"/>
  <c r="R26"/>
  <c r="Q26"/>
  <c r="P26"/>
  <c r="O26"/>
  <c r="N26"/>
  <c r="M26"/>
  <c r="L26"/>
  <c r="H26"/>
  <c r="AO25"/>
  <c r="AM25"/>
  <c r="AL25"/>
  <c r="AK25"/>
  <c r="AJ25"/>
  <c r="AH25"/>
  <c r="AG25"/>
  <c r="AF25"/>
  <c r="AE25"/>
  <c r="AD25"/>
  <c r="AB25"/>
  <c r="Z25"/>
  <c r="Y25"/>
  <c r="X25"/>
  <c r="W25"/>
  <c r="V25"/>
  <c r="S25"/>
  <c r="R25"/>
  <c r="Q25"/>
  <c r="P25"/>
  <c r="O25"/>
  <c r="N25"/>
  <c r="M25"/>
  <c r="L25"/>
  <c r="H25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6" i="18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6" i="17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6" i="16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6" i="15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6" i="14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G16" i="28"/>
  <c r="AE16"/>
  <c r="AD16"/>
  <c r="AB16"/>
  <c r="AA16"/>
  <c r="H16"/>
  <c r="AJ15"/>
  <c r="AH15"/>
  <c r="AH16" s="1"/>
  <c r="AE15"/>
  <c r="AG15" s="1"/>
  <c r="AL15" s="1"/>
  <c r="AD15"/>
  <c r="AB15"/>
  <c r="X15"/>
  <c r="X16" s="1"/>
  <c r="M15"/>
  <c r="L15"/>
  <c r="H15"/>
  <c r="AO14"/>
  <c r="AM14"/>
  <c r="AL14"/>
  <c r="AK14"/>
  <c r="AJ14"/>
  <c r="AH14"/>
  <c r="AG14"/>
  <c r="AF14"/>
  <c r="AE14"/>
  <c r="AD14"/>
  <c r="AB14"/>
  <c r="Z14"/>
  <c r="Y14"/>
  <c r="X14"/>
  <c r="W14"/>
  <c r="V14"/>
  <c r="S14"/>
  <c r="R14"/>
  <c r="Q14"/>
  <c r="P14"/>
  <c r="O14"/>
  <c r="N14"/>
  <c r="M14"/>
  <c r="L14"/>
  <c r="H14"/>
  <c r="AH10"/>
  <c r="AG10"/>
  <c r="AF10"/>
  <c r="AE10"/>
  <c r="AD10"/>
  <c r="AB10"/>
  <c r="AA10"/>
  <c r="Z10"/>
  <c r="Y10"/>
  <c r="X10"/>
  <c r="W10"/>
  <c r="V10"/>
  <c r="S10"/>
  <c r="R10"/>
  <c r="H10"/>
  <c r="AO9"/>
  <c r="AM9"/>
  <c r="AL9"/>
  <c r="AK9"/>
  <c r="AJ9"/>
  <c r="AH9"/>
  <c r="AG9"/>
  <c r="AF9"/>
  <c r="AE9"/>
  <c r="AD9"/>
  <c r="AB9"/>
  <c r="Z9"/>
  <c r="Y9"/>
  <c r="X9"/>
  <c r="W9"/>
  <c r="V9"/>
  <c r="S9"/>
  <c r="R9"/>
  <c r="Q9"/>
  <c r="P9"/>
  <c r="O9"/>
  <c r="N9"/>
  <c r="M9"/>
  <c r="L9"/>
  <c r="H9"/>
  <c r="AH5"/>
  <c r="AG5"/>
  <c r="AF5"/>
  <c r="AE5"/>
  <c r="AD5"/>
  <c r="AB5"/>
  <c r="AA5"/>
  <c r="Z5"/>
  <c r="Y5"/>
  <c r="X5"/>
  <c r="W5"/>
  <c r="V5"/>
  <c r="S5"/>
  <c r="R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6" i="8"/>
  <c r="AG6"/>
  <c r="AF6"/>
  <c r="AE6"/>
  <c r="AD6"/>
  <c r="AB6"/>
  <c r="AA6"/>
  <c r="Z6"/>
  <c r="Y6"/>
  <c r="X6"/>
  <c r="W6"/>
  <c r="V6"/>
  <c r="S6"/>
  <c r="R6"/>
  <c r="H6"/>
  <c r="AO5"/>
  <c r="AM5"/>
  <c r="AL5"/>
  <c r="AK5"/>
  <c r="AJ5"/>
  <c r="AH5"/>
  <c r="AG5"/>
  <c r="AF5"/>
  <c r="AE5"/>
  <c r="AD5"/>
  <c r="AB5"/>
  <c r="Z5"/>
  <c r="Y5"/>
  <c r="X5"/>
  <c r="W5"/>
  <c r="V5"/>
  <c r="S5"/>
  <c r="R5"/>
  <c r="Q5"/>
  <c r="P5"/>
  <c r="O5"/>
  <c r="N5"/>
  <c r="M5"/>
  <c r="L5"/>
  <c r="H5"/>
  <c r="AO4"/>
  <c r="AM4"/>
  <c r="AL4"/>
  <c r="AK4"/>
  <c r="AJ4"/>
  <c r="AH4"/>
  <c r="AG4"/>
  <c r="AF4"/>
  <c r="AE4"/>
  <c r="AD4"/>
  <c r="AB4"/>
  <c r="Z4"/>
  <c r="Y4"/>
  <c r="X4"/>
  <c r="W4"/>
  <c r="V4"/>
  <c r="S4"/>
  <c r="R4"/>
  <c r="Q4"/>
  <c r="P4"/>
  <c r="O4"/>
  <c r="N4"/>
  <c r="M4"/>
  <c r="L4"/>
  <c r="H4"/>
  <c r="AH12" i="27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H6"/>
  <c r="H5"/>
  <c r="H4"/>
  <c r="AH12" i="21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H6"/>
  <c r="H5"/>
  <c r="H4"/>
  <c r="AH12" i="24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G11"/>
  <c r="F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G10"/>
  <c r="F10"/>
  <c r="H6"/>
  <c r="H5"/>
  <c r="H4"/>
  <c r="AH12" i="22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G11"/>
  <c r="F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G10"/>
  <c r="H6"/>
  <c r="H5"/>
  <c r="H4"/>
  <c r="AH12" i="23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H6"/>
  <c r="H5"/>
  <c r="H4"/>
  <c r="AH12" i="19"/>
  <c r="AG12"/>
  <c r="AF12"/>
  <c r="AE12"/>
  <c r="AD12"/>
  <c r="AB12"/>
  <c r="AA12"/>
  <c r="Z12"/>
  <c r="Y12"/>
  <c r="X12"/>
  <c r="W12"/>
  <c r="V12"/>
  <c r="S12"/>
  <c r="R12"/>
  <c r="H12"/>
  <c r="AO11"/>
  <c r="AM11"/>
  <c r="AL11"/>
  <c r="AK11"/>
  <c r="AJ11"/>
  <c r="AH11"/>
  <c r="AG11"/>
  <c r="AF11"/>
  <c r="AE11"/>
  <c r="AD11"/>
  <c r="AB11"/>
  <c r="Z11"/>
  <c r="Y11"/>
  <c r="X11"/>
  <c r="W11"/>
  <c r="V11"/>
  <c r="S11"/>
  <c r="R11"/>
  <c r="Q11"/>
  <c r="P11"/>
  <c r="O11"/>
  <c r="N11"/>
  <c r="M11"/>
  <c r="L11"/>
  <c r="H11"/>
  <c r="AO10"/>
  <c r="AM10"/>
  <c r="AL10"/>
  <c r="AK10"/>
  <c r="AJ10"/>
  <c r="AH10"/>
  <c r="AG10"/>
  <c r="AF10"/>
  <c r="AE10"/>
  <c r="AD10"/>
  <c r="AB10"/>
  <c r="Z10"/>
  <c r="Y10"/>
  <c r="X10"/>
  <c r="W10"/>
  <c r="V10"/>
  <c r="S10"/>
  <c r="R10"/>
  <c r="Q10"/>
  <c r="P10"/>
  <c r="O10"/>
  <c r="N10"/>
  <c r="M10"/>
  <c r="L10"/>
  <c r="H10"/>
  <c r="H6"/>
  <c r="H5"/>
  <c r="H4"/>
  <c r="H10" i="40" l="1"/>
  <c r="L9"/>
  <c r="M9" s="1"/>
  <c r="AL19"/>
  <c r="AG21"/>
  <c r="N14"/>
  <c r="AH21"/>
  <c r="AG9"/>
  <c r="AG14"/>
  <c r="H19"/>
  <c r="L14"/>
  <c r="M14" s="1"/>
  <c r="H15"/>
  <c r="AM9"/>
  <c r="AM14"/>
  <c r="AD21"/>
  <c r="N20"/>
  <c r="X21" i="39"/>
  <c r="Y14"/>
  <c r="H19"/>
  <c r="H21" s="1"/>
  <c r="AJ19"/>
  <c r="AM19" s="1"/>
  <c r="Y9"/>
  <c r="AG19"/>
  <c r="AG20"/>
  <c r="Y20"/>
  <c r="AL20"/>
  <c r="Y19"/>
  <c r="AM20"/>
  <c r="N14"/>
  <c r="AE10"/>
  <c r="N20"/>
  <c r="AG10"/>
  <c r="AG15"/>
  <c r="H15"/>
  <c r="AH21"/>
  <c r="AD21"/>
  <c r="AD10"/>
  <c r="AD15"/>
  <c r="X16" i="37"/>
  <c r="AG14"/>
  <c r="O14"/>
  <c r="P14"/>
  <c r="Q14" s="1"/>
  <c r="R14" s="1"/>
  <c r="O15"/>
  <c r="P15" s="1"/>
  <c r="Q15" s="1"/>
  <c r="L4"/>
  <c r="M4" s="1"/>
  <c r="H5"/>
  <c r="L9"/>
  <c r="M9" s="1"/>
  <c r="H10"/>
  <c r="AE15"/>
  <c r="AH16"/>
  <c r="AE9"/>
  <c r="AE14"/>
  <c r="AE16" s="1"/>
  <c r="AD15"/>
  <c r="AG15" s="1"/>
  <c r="AL15" s="1"/>
  <c r="AM4"/>
  <c r="AM9"/>
  <c r="AL4"/>
  <c r="AB9"/>
  <c r="AB10" s="1"/>
  <c r="AD16"/>
  <c r="N9" i="36"/>
  <c r="N14"/>
  <c r="N4"/>
  <c r="AE15"/>
  <c r="AH16"/>
  <c r="AE4"/>
  <c r="AE5" s="1"/>
  <c r="AE9"/>
  <c r="AE10" s="1"/>
  <c r="AE14"/>
  <c r="AE16" s="1"/>
  <c r="AD15"/>
  <c r="AG15" s="1"/>
  <c r="AL15" s="1"/>
  <c r="AD4"/>
  <c r="AM4"/>
  <c r="AD9"/>
  <c r="AM9"/>
  <c r="AD14"/>
  <c r="AB15"/>
  <c r="AB4"/>
  <c r="AB5" s="1"/>
  <c r="AB9"/>
  <c r="AB10" s="1"/>
  <c r="N15"/>
  <c r="AG15" i="35"/>
  <c r="AL14"/>
  <c r="N19"/>
  <c r="N20"/>
  <c r="AG10"/>
  <c r="AL9"/>
  <c r="AL19"/>
  <c r="AG21"/>
  <c r="L9"/>
  <c r="M9" s="1"/>
  <c r="H10"/>
  <c r="L14"/>
  <c r="M14" s="1"/>
  <c r="H15"/>
  <c r="AH21"/>
  <c r="AM9"/>
  <c r="AM14"/>
  <c r="AD21"/>
  <c r="AH10" i="34"/>
  <c r="AG10"/>
  <c r="AL9"/>
  <c r="R14"/>
  <c r="R15" s="1"/>
  <c r="O14"/>
  <c r="P14"/>
  <c r="Q14" s="1"/>
  <c r="AL19"/>
  <c r="AG21"/>
  <c r="AG15"/>
  <c r="AL14"/>
  <c r="L9"/>
  <c r="M9" s="1"/>
  <c r="N9" s="1"/>
  <c r="H10"/>
  <c r="H15"/>
  <c r="L19"/>
  <c r="M19" s="1"/>
  <c r="AD21"/>
  <c r="N20"/>
  <c r="AD10"/>
  <c r="AD15"/>
  <c r="X21" i="33"/>
  <c r="AM9"/>
  <c r="AM19"/>
  <c r="AG19"/>
  <c r="AL19" s="1"/>
  <c r="N19"/>
  <c r="N20"/>
  <c r="AG10"/>
  <c r="AL9"/>
  <c r="AG15"/>
  <c r="AL14"/>
  <c r="L9"/>
  <c r="M9" s="1"/>
  <c r="H10"/>
  <c r="L14"/>
  <c r="M14" s="1"/>
  <c r="H15"/>
  <c r="AD21"/>
  <c r="AD10"/>
  <c r="AD15"/>
  <c r="X16" i="32"/>
  <c r="N9"/>
  <c r="AG5"/>
  <c r="AL4"/>
  <c r="N15"/>
  <c r="L4"/>
  <c r="M4" s="1"/>
  <c r="N4" s="1"/>
  <c r="H5"/>
  <c r="L9"/>
  <c r="M9" s="1"/>
  <c r="H10"/>
  <c r="L14"/>
  <c r="M14" s="1"/>
  <c r="AE15"/>
  <c r="AH16"/>
  <c r="AD15"/>
  <c r="AG15" s="1"/>
  <c r="AL15" s="1"/>
  <c r="AM4"/>
  <c r="AD9"/>
  <c r="AM9"/>
  <c r="AD14"/>
  <c r="AB15"/>
  <c r="AB9"/>
  <c r="AB10" s="1"/>
  <c r="AD5"/>
  <c r="N14"/>
  <c r="Y20" i="31"/>
  <c r="AG19"/>
  <c r="AL19" s="1"/>
  <c r="Y19"/>
  <c r="W21"/>
  <c r="AG14"/>
  <c r="AG15" s="1"/>
  <c r="V21"/>
  <c r="Y14"/>
  <c r="Y15" s="1"/>
  <c r="AD15"/>
  <c r="AM19"/>
  <c r="AL14"/>
  <c r="N20"/>
  <c r="L14"/>
  <c r="M14" s="1"/>
  <c r="H15"/>
  <c r="L19"/>
  <c r="M19" s="1"/>
  <c r="AH21"/>
  <c r="X21"/>
  <c r="AM14"/>
  <c r="X15"/>
  <c r="AD21"/>
  <c r="X10"/>
  <c r="H5"/>
  <c r="AB9"/>
  <c r="AE9"/>
  <c r="AE10" s="1"/>
  <c r="AM9"/>
  <c r="N9"/>
  <c r="AD9"/>
  <c r="AH10"/>
  <c r="H10"/>
  <c r="AH10" i="29"/>
  <c r="AG9"/>
  <c r="AL9" s="1"/>
  <c r="N9"/>
  <c r="H10"/>
  <c r="AH16"/>
  <c r="H5"/>
  <c r="N4"/>
  <c r="N14"/>
  <c r="AE5"/>
  <c r="AE10"/>
  <c r="AE14"/>
  <c r="AE16" s="1"/>
  <c r="AD15"/>
  <c r="AG15" s="1"/>
  <c r="AL15" s="1"/>
  <c r="AD14"/>
  <c r="AB15"/>
  <c r="AB5"/>
  <c r="AB10"/>
  <c r="AB14"/>
  <c r="AB16" s="1"/>
  <c r="N15"/>
  <c r="N15" i="28"/>
  <c r="AM15"/>
  <c r="O14" i="40" l="1"/>
  <c r="O20"/>
  <c r="P20" s="1"/>
  <c r="Q20" s="1"/>
  <c r="AG10"/>
  <c r="AL9"/>
  <c r="N9"/>
  <c r="AG15"/>
  <c r="AL14"/>
  <c r="H21"/>
  <c r="N19"/>
  <c r="L19"/>
  <c r="M19" s="1"/>
  <c r="L19" i="39"/>
  <c r="M19" s="1"/>
  <c r="N19" s="1"/>
  <c r="O19" s="1"/>
  <c r="AL19"/>
  <c r="AG21"/>
  <c r="O14"/>
  <c r="O20"/>
  <c r="P20" s="1"/>
  <c r="Q20" s="1"/>
  <c r="R16" i="37"/>
  <c r="S14"/>
  <c r="N4"/>
  <c r="R15"/>
  <c r="S15" s="1"/>
  <c r="AL14"/>
  <c r="AG16"/>
  <c r="N9"/>
  <c r="AG9"/>
  <c r="AE10"/>
  <c r="O9" i="36"/>
  <c r="P9"/>
  <c r="Q9" s="1"/>
  <c r="AG4"/>
  <c r="AD5"/>
  <c r="O15"/>
  <c r="P15"/>
  <c r="Q15" s="1"/>
  <c r="AG9"/>
  <c r="AD10"/>
  <c r="O14"/>
  <c r="P14"/>
  <c r="Q14" s="1"/>
  <c r="AG14"/>
  <c r="AD16"/>
  <c r="O4"/>
  <c r="P4"/>
  <c r="Q4" s="1"/>
  <c r="N14" i="35"/>
  <c r="O19"/>
  <c r="N9"/>
  <c r="O20"/>
  <c r="O9" i="34"/>
  <c r="P9"/>
  <c r="Q9" s="1"/>
  <c r="S14"/>
  <c r="O20"/>
  <c r="R9"/>
  <c r="N19"/>
  <c r="AG21" i="33"/>
  <c r="O19"/>
  <c r="O20"/>
  <c r="N14"/>
  <c r="N9"/>
  <c r="O4" i="32"/>
  <c r="P4"/>
  <c r="Q4" s="1"/>
  <c r="R4" s="1"/>
  <c r="O14"/>
  <c r="P14" s="1"/>
  <c r="Q14" s="1"/>
  <c r="R14" s="1"/>
  <c r="O9"/>
  <c r="AG9"/>
  <c r="AD10"/>
  <c r="O15"/>
  <c r="AG14"/>
  <c r="AD16"/>
  <c r="Y21" i="31"/>
  <c r="AG21"/>
  <c r="N14"/>
  <c r="N19"/>
  <c r="O20"/>
  <c r="AB10"/>
  <c r="AG9"/>
  <c r="AL9" s="1"/>
  <c r="O9"/>
  <c r="P9" s="1"/>
  <c r="Q9" s="1"/>
  <c r="AD10"/>
  <c r="O9" i="29"/>
  <c r="O4"/>
  <c r="AD10"/>
  <c r="AG14"/>
  <c r="AD16"/>
  <c r="O14"/>
  <c r="AD5"/>
  <c r="O15"/>
  <c r="O15" i="28"/>
  <c r="P15" s="1"/>
  <c r="Q15" s="1"/>
  <c r="O19" i="40" l="1"/>
  <c r="R19" s="1"/>
  <c r="P19"/>
  <c r="Q19" s="1"/>
  <c r="P14"/>
  <c r="Q14" s="1"/>
  <c r="R14" s="1"/>
  <c r="R20"/>
  <c r="S20" s="1"/>
  <c r="O9"/>
  <c r="P9" s="1"/>
  <c r="Q9" s="1"/>
  <c r="P14" i="39"/>
  <c r="Q14" s="1"/>
  <c r="R14" s="1"/>
  <c r="S14" s="1"/>
  <c r="R20"/>
  <c r="S20" s="1"/>
  <c r="P19"/>
  <c r="Q19" s="1"/>
  <c r="R19" s="1"/>
  <c r="S19" s="1"/>
  <c r="W16" i="37"/>
  <c r="S16"/>
  <c r="AF14"/>
  <c r="AF15"/>
  <c r="AK15" s="1"/>
  <c r="AO15" s="1"/>
  <c r="AG10"/>
  <c r="AL9"/>
  <c r="O4"/>
  <c r="O9"/>
  <c r="AL14" i="36"/>
  <c r="AG16"/>
  <c r="R14"/>
  <c r="R9"/>
  <c r="AG5"/>
  <c r="AL4"/>
  <c r="R4"/>
  <c r="R15"/>
  <c r="S15" s="1"/>
  <c r="AG10"/>
  <c r="AL9"/>
  <c r="O14" i="35"/>
  <c r="P14"/>
  <c r="Q14" s="1"/>
  <c r="R20"/>
  <c r="S20" s="1"/>
  <c r="P20"/>
  <c r="Q20" s="1"/>
  <c r="O9"/>
  <c r="P9"/>
  <c r="Q9" s="1"/>
  <c r="R19"/>
  <c r="P19"/>
  <c r="Q19" s="1"/>
  <c r="O19" i="34"/>
  <c r="P19"/>
  <c r="Q19" s="1"/>
  <c r="R10"/>
  <c r="S9"/>
  <c r="W14"/>
  <c r="W15" s="1"/>
  <c r="S15"/>
  <c r="AF14"/>
  <c r="V14"/>
  <c r="R20"/>
  <c r="S20" s="1"/>
  <c r="P20"/>
  <c r="Q20" s="1"/>
  <c r="P19" i="33"/>
  <c r="Q19" s="1"/>
  <c r="R19" s="1"/>
  <c r="S19" s="1"/>
  <c r="P20"/>
  <c r="Q20" s="1"/>
  <c r="R20" s="1"/>
  <c r="S20" s="1"/>
  <c r="O14"/>
  <c r="O9"/>
  <c r="P9" s="1"/>
  <c r="Q9" s="1"/>
  <c r="R5" i="32"/>
  <c r="S4"/>
  <c r="S14"/>
  <c r="AG10"/>
  <c r="AL9"/>
  <c r="P9"/>
  <c r="Q9" s="1"/>
  <c r="R9" s="1"/>
  <c r="AL14"/>
  <c r="AG16"/>
  <c r="R15"/>
  <c r="S15" s="1"/>
  <c r="P15"/>
  <c r="Q15" s="1"/>
  <c r="O14" i="31"/>
  <c r="O19"/>
  <c r="P20"/>
  <c r="Q20" s="1"/>
  <c r="R20" s="1"/>
  <c r="S20" s="1"/>
  <c r="R9"/>
  <c r="S9" s="1"/>
  <c r="AG10"/>
  <c r="P9" i="29"/>
  <c r="Q9" s="1"/>
  <c r="R9" s="1"/>
  <c r="S9" s="1"/>
  <c r="P4"/>
  <c r="Q4" s="1"/>
  <c r="R4" s="1"/>
  <c r="S4" s="1"/>
  <c r="P14"/>
  <c r="Q14" s="1"/>
  <c r="R14" s="1"/>
  <c r="AL14"/>
  <c r="AG16"/>
  <c r="AG5"/>
  <c r="AG10"/>
  <c r="R15"/>
  <c r="S15" s="1"/>
  <c r="P15"/>
  <c r="Q15" s="1"/>
  <c r="R15" i="28"/>
  <c r="R21" i="40" l="1"/>
  <c r="S19"/>
  <c r="R15"/>
  <c r="S14"/>
  <c r="AF20"/>
  <c r="AK20" s="1"/>
  <c r="AO20" s="1"/>
  <c r="V20"/>
  <c r="W20"/>
  <c r="R9"/>
  <c r="AF14" i="39"/>
  <c r="AK14" s="1"/>
  <c r="AO14" s="1"/>
  <c r="Z14"/>
  <c r="Z19"/>
  <c r="AF19"/>
  <c r="AK19" s="1"/>
  <c r="AO19" s="1"/>
  <c r="AF20"/>
  <c r="AK20" s="1"/>
  <c r="AO20" s="1"/>
  <c r="Z20"/>
  <c r="Y15" i="37"/>
  <c r="Z15" s="1"/>
  <c r="V16"/>
  <c r="R4"/>
  <c r="P4"/>
  <c r="Q4" s="1"/>
  <c r="AK14"/>
  <c r="AO14" s="1"/>
  <c r="AF16"/>
  <c r="R9"/>
  <c r="P9"/>
  <c r="Q9" s="1"/>
  <c r="R16" i="36"/>
  <c r="S14"/>
  <c r="R10"/>
  <c r="S9"/>
  <c r="R5"/>
  <c r="S4"/>
  <c r="AF15"/>
  <c r="AK15" s="1"/>
  <c r="AO15" s="1"/>
  <c r="V15"/>
  <c r="W15"/>
  <c r="R21" i="35"/>
  <c r="S19"/>
  <c r="R14"/>
  <c r="AF20"/>
  <c r="AK20" s="1"/>
  <c r="AO20" s="1"/>
  <c r="V20"/>
  <c r="W20"/>
  <c r="R9"/>
  <c r="AF15" i="34"/>
  <c r="AK14"/>
  <c r="AO14" s="1"/>
  <c r="V15"/>
  <c r="Y14"/>
  <c r="R19"/>
  <c r="AF20"/>
  <c r="AK20" s="1"/>
  <c r="AO20" s="1"/>
  <c r="V20"/>
  <c r="Y20" s="1"/>
  <c r="Z20" s="1"/>
  <c r="W20"/>
  <c r="W9"/>
  <c r="W10" s="1"/>
  <c r="S10"/>
  <c r="AF9"/>
  <c r="V9"/>
  <c r="Z19" i="33"/>
  <c r="AF19"/>
  <c r="AK19" s="1"/>
  <c r="AO19" s="1"/>
  <c r="AF20"/>
  <c r="AK20" s="1"/>
  <c r="AO20" s="1"/>
  <c r="Z20"/>
  <c r="P14"/>
  <c r="Q14" s="1"/>
  <c r="R14" s="1"/>
  <c r="R9"/>
  <c r="R10" i="32"/>
  <c r="S9"/>
  <c r="W4"/>
  <c r="W5" s="1"/>
  <c r="S5"/>
  <c r="AF4"/>
  <c r="V4"/>
  <c r="AF15"/>
  <c r="AK15" s="1"/>
  <c r="AO15" s="1"/>
  <c r="V15"/>
  <c r="W15"/>
  <c r="W14"/>
  <c r="S16"/>
  <c r="AF14"/>
  <c r="V14"/>
  <c r="R16"/>
  <c r="R14" i="31"/>
  <c r="P14"/>
  <c r="Q14" s="1"/>
  <c r="AF20"/>
  <c r="AK20" s="1"/>
  <c r="AO20" s="1"/>
  <c r="Z20"/>
  <c r="P19"/>
  <c r="Q19" s="1"/>
  <c r="R19" s="1"/>
  <c r="W9"/>
  <c r="V9"/>
  <c r="AF9"/>
  <c r="AK9" s="1"/>
  <c r="AO9" s="1"/>
  <c r="AF9" i="29"/>
  <c r="AK9" s="1"/>
  <c r="AO9" s="1"/>
  <c r="V9"/>
  <c r="Y9" s="1"/>
  <c r="Z9" s="1"/>
  <c r="W9"/>
  <c r="AF4"/>
  <c r="AK4" s="1"/>
  <c r="AO4" s="1"/>
  <c r="V4"/>
  <c r="W4"/>
  <c r="R10"/>
  <c r="R16"/>
  <c r="S14"/>
  <c r="AF15"/>
  <c r="AK15" s="1"/>
  <c r="AO15" s="1"/>
  <c r="V15"/>
  <c r="Y15" s="1"/>
  <c r="Z15" s="1"/>
  <c r="W15"/>
  <c r="R5"/>
  <c r="R16" i="28"/>
  <c r="S15"/>
  <c r="R10" i="40" l="1"/>
  <c r="S9"/>
  <c r="W19"/>
  <c r="W21" s="1"/>
  <c r="S21"/>
  <c r="AF19"/>
  <c r="V19"/>
  <c r="AF14"/>
  <c r="V14"/>
  <c r="W14"/>
  <c r="W15" s="1"/>
  <c r="S15"/>
  <c r="Y20"/>
  <c r="Z20" s="1"/>
  <c r="R15" i="39"/>
  <c r="R21"/>
  <c r="Y16" i="37"/>
  <c r="Z14"/>
  <c r="Z16" s="1"/>
  <c r="R10"/>
  <c r="S9"/>
  <c r="R5"/>
  <c r="S4"/>
  <c r="W4" i="36"/>
  <c r="W5" s="1"/>
  <c r="S5"/>
  <c r="AF4"/>
  <c r="V4"/>
  <c r="W14"/>
  <c r="W16" s="1"/>
  <c r="S16"/>
  <c r="AF14"/>
  <c r="V14"/>
  <c r="W9"/>
  <c r="W10" s="1"/>
  <c r="S10"/>
  <c r="AF9"/>
  <c r="V9"/>
  <c r="Y15"/>
  <c r="Z15" s="1"/>
  <c r="R10" i="35"/>
  <c r="S9"/>
  <c r="W19"/>
  <c r="W21" s="1"/>
  <c r="S21"/>
  <c r="AF19"/>
  <c r="V19"/>
  <c r="R15"/>
  <c r="S14"/>
  <c r="Y20"/>
  <c r="Z20" s="1"/>
  <c r="V10" i="34"/>
  <c r="Y9"/>
  <c r="Y15"/>
  <c r="Z14"/>
  <c r="Z15" s="1"/>
  <c r="AF10"/>
  <c r="AK9"/>
  <c r="AO9" s="1"/>
  <c r="R21"/>
  <c r="S19"/>
  <c r="R21" i="33"/>
  <c r="R15"/>
  <c r="S14"/>
  <c r="R10"/>
  <c r="S9"/>
  <c r="AF5" i="32"/>
  <c r="AK4"/>
  <c r="AO4" s="1"/>
  <c r="Y14"/>
  <c r="V16"/>
  <c r="Y15"/>
  <c r="Z15" s="1"/>
  <c r="W9"/>
  <c r="W10" s="1"/>
  <c r="S10"/>
  <c r="AF9"/>
  <c r="V9"/>
  <c r="W16"/>
  <c r="AK14"/>
  <c r="AO14" s="1"/>
  <c r="AF16"/>
  <c r="V5"/>
  <c r="Y4"/>
  <c r="R15" i="31"/>
  <c r="S14"/>
  <c r="R21"/>
  <c r="S19"/>
  <c r="R10"/>
  <c r="Y9"/>
  <c r="Z9" s="1"/>
  <c r="S10"/>
  <c r="Y4" i="29"/>
  <c r="Z4" s="1"/>
  <c r="W5"/>
  <c r="S5"/>
  <c r="W10"/>
  <c r="S10"/>
  <c r="W14"/>
  <c r="W16" s="1"/>
  <c r="AF14"/>
  <c r="S16"/>
  <c r="V14"/>
  <c r="V15" i="28"/>
  <c r="AF15"/>
  <c r="W15"/>
  <c r="W16" s="1"/>
  <c r="S16"/>
  <c r="Y19" i="40" l="1"/>
  <c r="V21"/>
  <c r="AF15"/>
  <c r="AK14"/>
  <c r="AO14" s="1"/>
  <c r="V15"/>
  <c r="Y14"/>
  <c r="AF9"/>
  <c r="V9"/>
  <c r="S10"/>
  <c r="AK19"/>
  <c r="AO19" s="1"/>
  <c r="AF21"/>
  <c r="W21" i="39"/>
  <c r="S21"/>
  <c r="W10"/>
  <c r="W15"/>
  <c r="S15"/>
  <c r="W9" i="37"/>
  <c r="W10" s="1"/>
  <c r="S10"/>
  <c r="AF9"/>
  <c r="V9"/>
  <c r="W4"/>
  <c r="W5" s="1"/>
  <c r="S5"/>
  <c r="AF4"/>
  <c r="V4"/>
  <c r="AF10" i="36"/>
  <c r="AK9"/>
  <c r="AO9" s="1"/>
  <c r="V10"/>
  <c r="Y9"/>
  <c r="AK14"/>
  <c r="AO14" s="1"/>
  <c r="AF16"/>
  <c r="Y14"/>
  <c r="V16"/>
  <c r="AF5"/>
  <c r="AK4"/>
  <c r="AO4" s="1"/>
  <c r="V5"/>
  <c r="Y4"/>
  <c r="AK19" i="35"/>
  <c r="AO19" s="1"/>
  <c r="AF21"/>
  <c r="Y19"/>
  <c r="V21"/>
  <c r="W14"/>
  <c r="W15" s="1"/>
  <c r="S15"/>
  <c r="AF14"/>
  <c r="V14"/>
  <c r="W9"/>
  <c r="W10" s="1"/>
  <c r="S10"/>
  <c r="AF9"/>
  <c r="V9"/>
  <c r="W19" i="34"/>
  <c r="W21" s="1"/>
  <c r="S21"/>
  <c r="AF19"/>
  <c r="V19"/>
  <c r="Y10"/>
  <c r="Z9"/>
  <c r="Z10" s="1"/>
  <c r="W21" i="33"/>
  <c r="S21"/>
  <c r="W14"/>
  <c r="W15" s="1"/>
  <c r="S15"/>
  <c r="AF14"/>
  <c r="V14"/>
  <c r="W9"/>
  <c r="W10" s="1"/>
  <c r="S10"/>
  <c r="AF9"/>
  <c r="V9"/>
  <c r="Y5" i="32"/>
  <c r="Z4"/>
  <c r="Z5" s="1"/>
  <c r="AF10"/>
  <c r="AK9"/>
  <c r="AO9" s="1"/>
  <c r="V10"/>
  <c r="Y9"/>
  <c r="Y16"/>
  <c r="Z14"/>
  <c r="Z16" s="1"/>
  <c r="S15" i="31"/>
  <c r="Z14"/>
  <c r="Z15" s="1"/>
  <c r="AF14"/>
  <c r="S21"/>
  <c r="Z19"/>
  <c r="Z21" s="1"/>
  <c r="AF19"/>
  <c r="W10"/>
  <c r="AF10"/>
  <c r="V10"/>
  <c r="Y14" i="29"/>
  <c r="V16"/>
  <c r="AF10"/>
  <c r="V10"/>
  <c r="AF5"/>
  <c r="AK14"/>
  <c r="AO14" s="1"/>
  <c r="AF16"/>
  <c r="V5"/>
  <c r="V16" i="28"/>
  <c r="Y15"/>
  <c r="AF16"/>
  <c r="AK15"/>
  <c r="AO15" s="1"/>
  <c r="Y21" i="40" l="1"/>
  <c r="Z19"/>
  <c r="Z21" s="1"/>
  <c r="V10"/>
  <c r="Y9"/>
  <c r="Y15"/>
  <c r="Z14"/>
  <c r="Z15" s="1"/>
  <c r="AF10"/>
  <c r="AK9"/>
  <c r="AO9" s="1"/>
  <c r="AF15" i="39"/>
  <c r="V15"/>
  <c r="V10"/>
  <c r="AF21"/>
  <c r="V21"/>
  <c r="AF5" i="37"/>
  <c r="AK4"/>
  <c r="AO4" s="1"/>
  <c r="AF10"/>
  <c r="AK9"/>
  <c r="AO9" s="1"/>
  <c r="V10"/>
  <c r="Y9"/>
  <c r="V5"/>
  <c r="Y4"/>
  <c r="Y16" i="36"/>
  <c r="Z14"/>
  <c r="Z16" s="1"/>
  <c r="Y5"/>
  <c r="Z4"/>
  <c r="Z5" s="1"/>
  <c r="Y10"/>
  <c r="Z9"/>
  <c r="Z10" s="1"/>
  <c r="V10" i="35"/>
  <c r="Y9"/>
  <c r="AF15"/>
  <c r="AK14"/>
  <c r="AO14" s="1"/>
  <c r="V15"/>
  <c r="Y14"/>
  <c r="Y21"/>
  <c r="Z19"/>
  <c r="Z21" s="1"/>
  <c r="AF10"/>
  <c r="AK9"/>
  <c r="AO9" s="1"/>
  <c r="AK19" i="34"/>
  <c r="AO19" s="1"/>
  <c r="AF21"/>
  <c r="Y19"/>
  <c r="V21"/>
  <c r="AF21" i="33"/>
  <c r="V15"/>
  <c r="Y14"/>
  <c r="V21"/>
  <c r="AF15"/>
  <c r="AK14"/>
  <c r="AO14" s="1"/>
  <c r="AF10"/>
  <c r="AK9"/>
  <c r="AO9" s="1"/>
  <c r="V10"/>
  <c r="Y9"/>
  <c r="Y10" i="32"/>
  <c r="Z9"/>
  <c r="Z10" s="1"/>
  <c r="AF15" i="31"/>
  <c r="AK14"/>
  <c r="AO14" s="1"/>
  <c r="AK19"/>
  <c r="AO19" s="1"/>
  <c r="AF21"/>
  <c r="Y10"/>
  <c r="Z10"/>
  <c r="Y16" i="29"/>
  <c r="Z14"/>
  <c r="Z16" s="1"/>
  <c r="Y10"/>
  <c r="Z10"/>
  <c r="Y5"/>
  <c r="Z5"/>
  <c r="Y16" i="28"/>
  <c r="Z15"/>
  <c r="Z16" s="1"/>
  <c r="Y10" i="40" l="1"/>
  <c r="Z9"/>
  <c r="Z10" s="1"/>
  <c r="Y10" i="39"/>
  <c r="Y21"/>
  <c r="Z21"/>
  <c r="Y15"/>
  <c r="Z15"/>
  <c r="Y10" i="37"/>
  <c r="Z9"/>
  <c r="Z10" s="1"/>
  <c r="Y5"/>
  <c r="Z4"/>
  <c r="Z5" s="1"/>
  <c r="Y15" i="35"/>
  <c r="Z14"/>
  <c r="Z15" s="1"/>
  <c r="Y10"/>
  <c r="Z9"/>
  <c r="Z10" s="1"/>
  <c r="Y21" i="34"/>
  <c r="Z19"/>
  <c r="Z21" s="1"/>
  <c r="Y21" i="33"/>
  <c r="Z21"/>
  <c r="Y10"/>
  <c r="Z9"/>
  <c r="Z10" s="1"/>
  <c r="Y15"/>
  <c r="Z14"/>
  <c r="Z15" s="1"/>
  <c r="AJ9" i="39"/>
  <c r="AL9" s="1"/>
  <c r="H9"/>
  <c r="L9" s="1"/>
  <c r="M9" s="1"/>
  <c r="H10" l="1"/>
  <c r="AM9"/>
  <c r="N9"/>
  <c r="O9" l="1"/>
  <c r="R9" l="1"/>
  <c r="P9"/>
  <c r="Q9" s="1"/>
  <c r="R10" l="1"/>
  <c r="S9"/>
  <c r="S10" l="1"/>
  <c r="AF9"/>
  <c r="Z9"/>
  <c r="Z10" s="1"/>
  <c r="AK9" l="1"/>
  <c r="AO9" s="1"/>
  <c r="AF10"/>
</calcChain>
</file>

<file path=xl/sharedStrings.xml><?xml version="1.0" encoding="utf-8"?>
<sst xmlns="http://schemas.openxmlformats.org/spreadsheetml/2006/main" count="3686" uniqueCount="180">
  <si>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</si>
  <si>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</si>
  <si>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</si>
  <si>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</si>
  <si>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</si>
  <si>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</si>
  <si>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</si>
  <si>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</si>
  <si>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</si>
  <si>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</si>
  <si>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GWL_ITEM - Serial</t>
  </si>
  <si>
    <t>GWL ITEM SERIAL</t>
  </si>
  <si>
    <t>NOS</t>
  </si>
  <si>
    <t>GWL_Item_Similar_02</t>
  </si>
  <si>
    <t>Total</t>
  </si>
  <si>
    <t>Purchase Order &amp; GRN</t>
  </si>
  <si>
    <t>GST Purchase</t>
  </si>
  <si>
    <t>(1 - Local Purchase,2 Interstate Purchase, 3 Import Purchase)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</si>
  <si>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</si>
  <si>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</si>
  <si>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</si>
  <si>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</si>
  <si>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</si>
  <si>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</si>
  <si>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</si>
  <si>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</si>
  <si>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</si>
  <si>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</si>
  <si>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</si>
  <si>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</si>
  <si>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</si>
  <si>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</si>
  <si>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</si>
  <si>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</si>
  <si>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</si>
  <si>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</si>
  <si>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</si>
  <si>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</si>
  <si>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</si>
  <si>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</si>
  <si>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</si>
  <si>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</si>
  <si>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</si>
  <si>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</si>
  <si>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</si>
  <si>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</si>
  <si>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</si>
  <si>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</si>
  <si>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</si>
  <si>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</si>
  <si>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</si>
  <si>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</si>
  <si>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</si>
  <si>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</si>
  <si>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</si>
  <si>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</si>
  <si>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</si>
  <si>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HSN1</t>
  </si>
  <si>
    <t>Scenario  : Local Purchase - Stock UOM and Purchase UOM (Dissimilar)</t>
  </si>
  <si>
    <t>GWL_ITEM_DISSIMILAR_UOM</t>
  </si>
  <si>
    <t>GWL_ITEM_DISSIMILAR_UOM_DESC</t>
  </si>
  <si>
    <t>GWL_Item_Dissimilar_02</t>
  </si>
  <si>
    <t>GWL_SERVICES_02</t>
  </si>
  <si>
    <t>GWL_SERVICES_02_DESCRIPTION</t>
  </si>
  <si>
    <t>GWL_ITem_service_03</t>
  </si>
  <si>
    <t>Purchase Order Amendment</t>
  </si>
  <si>
    <t>Final Purchase Order &amp; GRN</t>
  </si>
  <si>
    <t>RM1001</t>
  </si>
  <si>
    <t>Raw Material - 1001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</si>
  <si>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</si>
  <si>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</si>
  <si>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</si>
  <si>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</si>
  <si>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</si>
  <si>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</si>
  <si>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</si>
  <si>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</si>
  <si>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</si>
  <si>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</si>
  <si>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</si>
  <si>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</si>
  <si>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</si>
  <si>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</si>
  <si>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</si>
  <si>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</si>
  <si>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</si>
  <si>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</si>
  <si>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</si>
  <si>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</si>
  <si>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</si>
  <si>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</si>
  <si>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</si>
  <si>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</si>
  <si>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</si>
  <si>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</si>
  <si>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</si>
  <si>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</si>
  <si>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HSN2</t>
  </si>
  <si>
    <t>HSN3</t>
  </si>
  <si>
    <t>HSN4</t>
  </si>
  <si>
    <t>Tax</t>
  </si>
  <si>
    <t>Row Labels</t>
  </si>
  <si>
    <t>Sum of Pur. Val.</t>
  </si>
  <si>
    <t>Value</t>
  </si>
  <si>
    <t>Grand Total</t>
  </si>
  <si>
    <t>Operation</t>
  </si>
  <si>
    <t>Lot No. / Ser. No.</t>
  </si>
  <si>
    <t>Sou.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</si>
  <si>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</si>
  <si>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</si>
  <si>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</si>
  <si>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</si>
  <si>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</si>
  <si>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</si>
  <si>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</si>
  <si>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</si>
  <si>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</si>
  <si>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</si>
  <si>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</si>
  <si>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</si>
  <si>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</si>
  <si>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</si>
  <si>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RMW</t>
  </si>
  <si>
    <t>Receipt Qty &amp; Unit cost</t>
  </si>
  <si>
    <t>Local Purchase - Stock UOM and Purchase UOM (Different)</t>
  </si>
  <si>
    <t>No.</t>
  </si>
  <si>
    <t>Item Desc</t>
  </si>
  <si>
    <t>VD Asbl. Val.</t>
  </si>
  <si>
    <t>Pur. Value</t>
  </si>
  <si>
    <t>Tax%</t>
  </si>
  <si>
    <t>Unit cost (Stk. UOM)</t>
  </si>
  <si>
    <t>RM2001</t>
  </si>
  <si>
    <t>Raw Material - 2001</t>
  </si>
  <si>
    <t>KGS</t>
  </si>
  <si>
    <t>RM2002</t>
  </si>
  <si>
    <t>Raw Material - 2002</t>
  </si>
  <si>
    <t>RM2003</t>
  </si>
  <si>
    <t>Raw Material - 2003</t>
  </si>
  <si>
    <t>RM2004</t>
  </si>
  <si>
    <t>Raw Material - 2004</t>
  </si>
  <si>
    <t>RM2005</t>
  </si>
  <si>
    <t>Raw Material - 2005</t>
  </si>
  <si>
    <t>RM2006</t>
  </si>
  <si>
    <t>Raw Material - 2006</t>
  </si>
  <si>
    <t>RM2007</t>
  </si>
  <si>
    <t>Raw Material - 2007</t>
  </si>
  <si>
    <t>MTR</t>
  </si>
  <si>
    <t>RM2008</t>
  </si>
  <si>
    <t>Raw Material - 2008</t>
  </si>
  <si>
    <t>RM2009</t>
  </si>
  <si>
    <t>Raw Material - 2009</t>
  </si>
  <si>
    <t>RM2010</t>
  </si>
  <si>
    <t>Raw Material - 2010</t>
  </si>
  <si>
    <t>RM2011</t>
  </si>
  <si>
    <t>Raw Material - 2011</t>
  </si>
  <si>
    <t>MT</t>
  </si>
  <si>
    <t>RM2012</t>
  </si>
  <si>
    <t>Raw Material - 2012</t>
  </si>
  <si>
    <t>RM2013</t>
  </si>
  <si>
    <t>Raw Material - 2013</t>
  </si>
  <si>
    <t>RM2014</t>
  </si>
  <si>
    <t>Raw Material - 2014</t>
  </si>
  <si>
    <t>RM2015</t>
  </si>
  <si>
    <t>Raw Material - 2015</t>
  </si>
  <si>
    <t>Gross Purchase</t>
  </si>
  <si>
    <t>Conv factor</t>
  </si>
  <si>
    <t>Disc amt</t>
  </si>
  <si>
    <t>Net Purchase</t>
  </si>
  <si>
    <t>Tax Amt</t>
  </si>
  <si>
    <t>Gross Amont</t>
  </si>
  <si>
    <t>Import Purchase - Stock UOM and Purchase UOM (Similar)</t>
  </si>
  <si>
    <t>Curr: USD</t>
  </si>
  <si>
    <t>Exchange Rate</t>
  </si>
  <si>
    <t>Tot. Disc Amt</t>
  </si>
  <si>
    <t>Line Amt</t>
  </si>
  <si>
    <t>Net Amt (Base)</t>
  </si>
  <si>
    <t>Supplier Currency</t>
  </si>
  <si>
    <t>Base Currency</t>
  </si>
  <si>
    <t>Import Purchase - Stock UOM and Purchase UOM (Different)</t>
  </si>
  <si>
    <t>Net Amt (Supp.)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</si>
</sst>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8">
    <font>
      <sz val="11"/>
      <color theme="1"/>
      <name val="Calibri"/>
      <charset val="134"/>
      <scheme val="minor"/>
    </font>
    <font>
      <b/>
      <sz val="10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u/>
      <sz val="14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b/>
      <sz val="14"/>
      <color theme="1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/>
    <xf numFmtId="9" fontId="2" fillId="0" borderId="2" xfId="0" applyNumberFormat="1" applyFont="1" applyBorder="1"/>
    <xf numFmtId="0" fontId="4" fillId="4" borderId="2" xfId="0" applyFont="1" applyFill="1" applyBorder="1"/>
    <xf numFmtId="0" fontId="4" fillId="7" borderId="2" xfId="0" applyFont="1" applyFill="1" applyBorder="1" applyAlignment="1">
      <alignment horizontal="center" vertical="center"/>
    </xf>
    <xf numFmtId="10" fontId="2" fillId="0" borderId="2" xfId="0" applyNumberFormat="1" applyFont="1" applyBorder="1"/>
    <xf numFmtId="0" fontId="2" fillId="0" borderId="0" xfId="0" applyFont="1" applyAlignment="1"/>
    <xf numFmtId="0" fontId="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/>
    <xf numFmtId="0" fontId="2" fillId="0" borderId="6" xfId="0" applyFont="1" applyBorder="1"/>
    <xf numFmtId="0" fontId="2" fillId="0" borderId="0" xfId="0" applyFont="1" applyBorder="1"/>
    <xf numFmtId="164" fontId="2" fillId="0" borderId="2" xfId="0" applyNumberFormat="1" applyFont="1" applyBorder="1"/>
    <xf numFmtId="0" fontId="4" fillId="6" borderId="2" xfId="0" applyFont="1" applyFill="1" applyBorder="1" applyAlignment="1">
      <alignment horizontal="center" vertical="center"/>
    </xf>
    <xf numFmtId="2" fontId="2" fillId="0" borderId="2" xfId="0" applyNumberFormat="1" applyFont="1" applyBorder="1"/>
    <xf numFmtId="0" fontId="3" fillId="0" borderId="0" xfId="0" applyFont="1" applyBorder="1" applyAlignment="1">
      <alignment horizontal="left" vertical="top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165" fontId="2" fillId="0" borderId="11" xfId="0" applyNumberFormat="1" applyFont="1" applyBorder="1"/>
    <xf numFmtId="2" fontId="2" fillId="0" borderId="11" xfId="0" applyNumberFormat="1" applyFont="1" applyBorder="1"/>
    <xf numFmtId="2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65" fontId="2" fillId="0" borderId="14" xfId="0" applyNumberFormat="1" applyFont="1" applyBorder="1"/>
    <xf numFmtId="2" fontId="2" fillId="0" borderId="14" xfId="0" applyNumberFormat="1" applyFont="1" applyBorder="1"/>
    <xf numFmtId="2" fontId="2" fillId="0" borderId="15" xfId="0" applyNumberFormat="1" applyFont="1" applyBorder="1"/>
    <xf numFmtId="2" fontId="4" fillId="4" borderId="17" xfId="0" applyNumberFormat="1" applyFont="1" applyFill="1" applyBorder="1" applyAlignment="1">
      <alignment vertical="top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165" fontId="2" fillId="0" borderId="2" xfId="0" applyNumberFormat="1" applyFont="1" applyBorder="1"/>
    <xf numFmtId="2" fontId="4" fillId="4" borderId="2" xfId="0" applyNumberFormat="1" applyFont="1" applyFill="1" applyBorder="1"/>
    <xf numFmtId="10" fontId="0" fillId="0" borderId="0" xfId="0" applyNumberFormat="1" applyAlignment="1">
      <alignment horizontal="left"/>
    </xf>
    <xf numFmtId="2" fontId="0" fillId="0" borderId="0" xfId="0" applyNumberFormat="1"/>
    <xf numFmtId="2" fontId="2" fillId="0" borderId="0" xfId="0" applyNumberFormat="1" applyFont="1"/>
    <xf numFmtId="0" fontId="2" fillId="0" borderId="0" xfId="0" applyFont="1" applyFill="1" applyBorder="1" applyAlignment="1">
      <alignment horizontal="left"/>
    </xf>
    <xf numFmtId="0" fontId="0" fillId="0" borderId="0" xfId="0" applyNumberFormat="1"/>
    <xf numFmtId="2" fontId="6" fillId="0" borderId="0" xfId="0" applyNumberFormat="1" applyFont="1" applyFill="1" applyBorder="1"/>
    <xf numFmtId="10" fontId="2" fillId="0" borderId="0" xfId="0" applyNumberFormat="1" applyFont="1" applyFill="1" applyBorder="1"/>
    <xf numFmtId="2" fontId="2" fillId="0" borderId="0" xfId="0" applyNumberFormat="1" applyFont="1" applyFill="1" applyBorder="1"/>
    <xf numFmtId="0" fontId="2" fillId="0" borderId="0" xfId="0" applyFont="1" applyFill="1" applyBorder="1"/>
    <xf numFmtId="0" fontId="4" fillId="3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2" fillId="2" borderId="8" xfId="0" applyFont="1" applyFill="1" applyBorder="1"/>
    <xf numFmtId="0" fontId="2" fillId="0" borderId="8" xfId="0" applyFont="1" applyBorder="1"/>
    <xf numFmtId="0" fontId="0" fillId="0" borderId="11" xfId="0" applyBorder="1"/>
    <xf numFmtId="0" fontId="4" fillId="8" borderId="6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2" fillId="0" borderId="15" xfId="0" applyFont="1" applyBorder="1"/>
    <xf numFmtId="0" fontId="4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2" fontId="4" fillId="6" borderId="2" xfId="0" applyNumberFormat="1" applyFont="1" applyFill="1" applyBorder="1"/>
    <xf numFmtId="0" fontId="4" fillId="9" borderId="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vertical="center"/>
    </xf>
    <xf numFmtId="0" fontId="2" fillId="0" borderId="2" xfId="0" applyNumberFormat="1" applyFont="1" applyBorder="1"/>
    <xf numFmtId="0" fontId="0" fillId="0" borderId="18" xfId="0" applyFill="1" applyBorder="1" applyAlignment="1">
      <alignment vertical="center"/>
    </xf>
    <xf numFmtId="0" fontId="4" fillId="4" borderId="2" xfId="0" applyNumberFormat="1" applyFont="1" applyFill="1" applyBorder="1"/>
    <xf numFmtId="0" fontId="0" fillId="0" borderId="18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4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4" fillId="4" borderId="16" xfId="0" applyFont="1" applyFill="1" applyBorder="1" applyAlignment="1">
      <alignment horizontal="center" vertical="top"/>
    </xf>
    <xf numFmtId="2" fontId="4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10" borderId="3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D" refreshedDate="45328.730419213003" createdVersion="5" refreshedVersion="5" minRefreshableVersion="3" recordCount="15">
  <cacheSource type="worksheet">
    <worksheetSource ref="S22:U37" sheet="Case 1"/>
  </cacheSource>
  <cacheFields count="3">
    <cacheField name="Pur. Val." numFmtId="2">
      <sharedItems containsSemiMixedTypes="0" containsNonDate="0" containsString="0"/>
    </cacheField>
    <cacheField name="HSN" numFmtId="2">
      <sharedItems containsSemiMixedTypes="0" containsNonDate="0" containsString="0"/>
    </cacheField>
    <cacheField name="Tax Rate" numFmtId="10">
      <sharedItems containsSemiMixedTypes="0" containsString="0" containsNumber="1" minValue="0" maxValue="0.28000000000000003" count="4">
        <n v="0.18"/>
        <n v="0.12"/>
        <n v="0.05"/>
        <n v="0.2800000000000000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  <r>
    <m/>
    <m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B41:C46" firstHeaderRow="1" firstDataRow="1" firstDataCol="1"/>
  <pivotFields count="3">
    <pivotField dataField="1" numFmtId="2" showAll="0"/>
    <pivotField showAll="0"/>
    <pivotField axis="axisRow" numFmtId="10" showAll="0">
      <items count="5">
        <item x="2"/>
        <item x="1"/>
        <item x="0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. Val." fld="0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B28:C33" firstHeaderRow="1" firstDataRow="1" firstDataCol="1"/>
  <pivotFields count="3">
    <pivotField dataField="1" numFmtId="2" showAll="0"/>
    <pivotField showAll="0"/>
    <pivotField axis="axisRow" numFmtId="10" showAll="0">
      <items count="5">
        <item x="2"/>
        <item x="1"/>
        <item x="0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. Val." fld="0" baseField="0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showGridLines="0" workbookViewId="0">
      <selection activeCell="V15" sqref="V15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3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3.5" thickBot="1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.75" thickBot="1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0</v>
      </c>
      <c r="V4" s="72">
        <f>IF($C$2=1,ROUND(((S4*(U4/100))/2),2),0)</f>
        <v>0</v>
      </c>
      <c r="W4" s="23">
        <f>IF($C$2=1,ROUND(((S4*(U4/100))/2),2),0)</f>
        <v>0</v>
      </c>
      <c r="X4" s="23">
        <f>IF($C$2=2,ROUND(((S4*U4)),2),0)</f>
        <v>0</v>
      </c>
      <c r="Y4" s="23">
        <f>V4+W4+X4</f>
        <v>0</v>
      </c>
      <c r="Z4" s="23">
        <f>S4+Y4</f>
        <v>622.87</v>
      </c>
      <c r="AA4" s="23">
        <v>120</v>
      </c>
      <c r="AB4" s="23" t="e">
        <f>IF($P$2=1,(S4/$S$5)*#REF!,AA4/$AA$5*#REF!)</f>
        <v>#REF!</v>
      </c>
      <c r="AC4" s="23"/>
      <c r="AD4" s="23" t="e">
        <f>IF($P$2=1,(S4/$S$5)*#REF!,AA4/$AA$5*#REF!)</f>
        <v>#REF!</v>
      </c>
      <c r="AE4" s="23" t="e">
        <f>IF($P$2=1,(S4/$S$5)*#REF!,AA4/$AA$5*#REF!)</f>
        <v>#REF!</v>
      </c>
      <c r="AF4" s="23">
        <f>S4*$M$2</f>
        <v>622.87</v>
      </c>
      <c r="AG4" s="23">
        <f>IF($C$2=3,0,AD4+AE4)</f>
        <v>0</v>
      </c>
      <c r="AH4" s="23" t="e">
        <f>IF($C$2=3,AB4+AD4+AE4,0)</f>
        <v>#REF!</v>
      </c>
      <c r="AI4" s="47">
        <v>1</v>
      </c>
      <c r="AJ4" s="23">
        <f>F4/AI4</f>
        <v>5</v>
      </c>
      <c r="AK4" s="23">
        <f>AF4/AJ4</f>
        <v>124.574</v>
      </c>
      <c r="AL4" s="23">
        <f>AG4/AJ4</f>
        <v>0</v>
      </c>
      <c r="AM4" s="23" t="e">
        <f>AH4/AJ4</f>
        <v>#REF!</v>
      </c>
      <c r="AN4" s="23" t="s">
        <v>12</v>
      </c>
      <c r="AO4" s="23" t="e">
        <f>AK4+AL4+AM4</f>
        <v>#REF!</v>
      </c>
    </row>
    <row r="5" spans="1:41" ht="15" thickBot="1">
      <c r="B5" s="81" t="s">
        <v>14</v>
      </c>
      <c r="C5" s="81"/>
      <c r="D5" s="81"/>
      <c r="E5" s="81"/>
      <c r="F5" s="81"/>
      <c r="G5" s="81"/>
      <c r="H5" s="74">
        <f>SUM(H4:H4)</f>
        <v>750</v>
      </c>
      <c r="I5" s="5"/>
      <c r="J5" s="5"/>
      <c r="K5" s="5"/>
      <c r="L5" s="5"/>
      <c r="M5" s="5"/>
      <c r="N5" s="5"/>
      <c r="O5" s="5"/>
      <c r="P5" s="5"/>
      <c r="Q5" s="5"/>
      <c r="R5" s="7">
        <f t="shared" ref="R5:AB5" si="0">SUM(R4:R4)</f>
        <v>127.13</v>
      </c>
      <c r="S5" s="7">
        <f t="shared" si="0"/>
        <v>622.87</v>
      </c>
      <c r="T5" s="7"/>
      <c r="U5" s="7"/>
      <c r="V5" s="48">
        <f t="shared" si="0"/>
        <v>0</v>
      </c>
      <c r="W5" s="48">
        <f t="shared" si="0"/>
        <v>0</v>
      </c>
      <c r="X5" s="48">
        <f t="shared" si="0"/>
        <v>0</v>
      </c>
      <c r="Y5" s="7">
        <f t="shared" si="0"/>
        <v>0</v>
      </c>
      <c r="Z5" s="18">
        <f t="shared" si="0"/>
        <v>622.87</v>
      </c>
      <c r="AA5" s="69">
        <f t="shared" si="0"/>
        <v>120</v>
      </c>
      <c r="AB5" s="69" t="e">
        <f t="shared" si="0"/>
        <v>#REF!</v>
      </c>
      <c r="AC5" s="18"/>
      <c r="AD5" s="69" t="e">
        <f>SUM(AD4:AD4)</f>
        <v>#REF!</v>
      </c>
      <c r="AE5" s="69" t="e">
        <f>SUM(AE4:AE4)</f>
        <v>#REF!</v>
      </c>
      <c r="AF5" s="69">
        <f>SUM(AF4:AF4)</f>
        <v>622.87</v>
      </c>
      <c r="AG5" s="69">
        <f>SUM(AG4:AG4)</f>
        <v>0</v>
      </c>
      <c r="AH5" s="69" t="e">
        <f>SUM(AH4:AH4)</f>
        <v>#REF!</v>
      </c>
      <c r="AI5" s="18"/>
      <c r="AJ5" s="18"/>
      <c r="AK5" s="18"/>
      <c r="AL5" s="18"/>
      <c r="AM5" s="18"/>
      <c r="AN5" s="18"/>
      <c r="AO5" s="18"/>
    </row>
    <row r="6" spans="1:41">
      <c r="A6" s="40" t="s">
        <v>65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>
      <c r="A7" s="82" t="s">
        <v>16</v>
      </c>
      <c r="B7" s="82"/>
      <c r="C7" s="42">
        <v>3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1</v>
      </c>
      <c r="B9" s="75" t="s">
        <v>13</v>
      </c>
      <c r="C9" s="5" t="s">
        <v>13</v>
      </c>
      <c r="D9" s="5" t="s">
        <v>12</v>
      </c>
      <c r="E9" s="5" t="s">
        <v>12</v>
      </c>
      <c r="F9" s="47">
        <v>6</v>
      </c>
      <c r="G9" s="23">
        <v>200</v>
      </c>
      <c r="H9" s="72">
        <f>F9*G9</f>
        <v>1200</v>
      </c>
      <c r="I9" s="72">
        <v>0</v>
      </c>
      <c r="J9" s="72">
        <v>0</v>
      </c>
      <c r="K9" s="72">
        <v>0</v>
      </c>
      <c r="L9" s="72">
        <f>H9</f>
        <v>1200</v>
      </c>
      <c r="M9" s="72">
        <f>ROUND((L9*I9)/100,2)</f>
        <v>0</v>
      </c>
      <c r="N9" s="72">
        <f>H9-M9</f>
        <v>1200</v>
      </c>
      <c r="O9" s="72">
        <f>ROUND((N9*J9)/100,2)</f>
        <v>0</v>
      </c>
      <c r="P9" s="72">
        <f>ROUND(N9-O9,2)</f>
        <v>1200</v>
      </c>
      <c r="Q9" s="72">
        <f>ROUND((P9*K9)/100,2)</f>
        <v>0</v>
      </c>
      <c r="R9" s="23">
        <f>M9+O9+Q9</f>
        <v>0</v>
      </c>
      <c r="S9" s="23">
        <f>(H9-R9)</f>
        <v>1200</v>
      </c>
      <c r="T9" s="23" t="s">
        <v>57</v>
      </c>
      <c r="U9" s="72">
        <v>0</v>
      </c>
      <c r="V9" s="72">
        <f>IF($C$2=1,ROUND(((S9*(U9/100))/2),2),0)</f>
        <v>0</v>
      </c>
      <c r="W9" s="23">
        <f>IF($C$2=1,ROUND(((S9*(U9/100))/2),2),0)</f>
        <v>0</v>
      </c>
      <c r="X9" s="23">
        <f>IF($C$2=2,ROUND(((S9*U9)),2),0)</f>
        <v>0</v>
      </c>
      <c r="Y9" s="23">
        <f>V9+W9+X9</f>
        <v>0</v>
      </c>
      <c r="Z9" s="23">
        <f>S9+Y9</f>
        <v>1200</v>
      </c>
      <c r="AA9" s="23">
        <v>200</v>
      </c>
      <c r="AB9" s="23" t="e">
        <f>IF($P$2=1,(S9/$S$5)*#REF!,AA9/$AA$5*#REF!)</f>
        <v>#REF!</v>
      </c>
      <c r="AC9" s="23"/>
      <c r="AD9" s="23" t="e">
        <f>IF($P$2=1,(S9/$S$5)*#REF!,AA9/$AA$5*#REF!)</f>
        <v>#REF!</v>
      </c>
      <c r="AE9" s="23" t="e">
        <f>IF($P$2=1,(S9/$S$5)*#REF!,AA9/$AA$5*#REF!)</f>
        <v>#REF!</v>
      </c>
      <c r="AF9" s="23">
        <f>S9*$M$2</f>
        <v>1200</v>
      </c>
      <c r="AG9" s="23">
        <f>IF($C$2=3,0,AD9+AE9)</f>
        <v>0</v>
      </c>
      <c r="AH9" s="23" t="e">
        <f>IF($C$2=3,AB9+AD9+AE9,0)</f>
        <v>#REF!</v>
      </c>
      <c r="AI9" s="47">
        <v>1</v>
      </c>
      <c r="AJ9" s="23">
        <f>F9/AI9</f>
        <v>6</v>
      </c>
      <c r="AK9" s="23">
        <f>AF9/AJ9</f>
        <v>200</v>
      </c>
      <c r="AL9" s="23">
        <f>AG9/AJ9</f>
        <v>0</v>
      </c>
      <c r="AM9" s="23" t="e">
        <f>AH9/AJ9</f>
        <v>#REF!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1200</v>
      </c>
      <c r="I10" s="5"/>
      <c r="J10" s="5"/>
      <c r="K10" s="5"/>
      <c r="L10" s="5"/>
      <c r="M10" s="5"/>
      <c r="N10" s="5"/>
      <c r="O10" s="5"/>
      <c r="P10" s="5"/>
      <c r="Q10" s="5"/>
      <c r="R10" s="7">
        <f t="shared" ref="R10:AB10" si="1">SUM(R9:R9)</f>
        <v>0</v>
      </c>
      <c r="S10" s="7">
        <f t="shared" si="1"/>
        <v>1200</v>
      </c>
      <c r="T10" s="7"/>
      <c r="U10" s="7"/>
      <c r="V10" s="48">
        <f t="shared" si="1"/>
        <v>0</v>
      </c>
      <c r="W10" s="48">
        <f t="shared" si="1"/>
        <v>0</v>
      </c>
      <c r="X10" s="48">
        <f t="shared" si="1"/>
        <v>0</v>
      </c>
      <c r="Y10" s="7">
        <f t="shared" si="1"/>
        <v>0</v>
      </c>
      <c r="Z10" s="18">
        <f t="shared" si="1"/>
        <v>1200</v>
      </c>
      <c r="AA10" s="69">
        <f t="shared" si="1"/>
        <v>200</v>
      </c>
      <c r="AB10" s="69" t="e">
        <f t="shared" si="1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1200</v>
      </c>
      <c r="AG10" s="69">
        <f>SUM(AG9:AG9)</f>
        <v>0</v>
      </c>
      <c r="AH10" s="69" t="e">
        <f>SUM(AH9:AH9)</f>
        <v>#REF!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66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3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1</v>
      </c>
      <c r="B14" s="75" t="s">
        <v>10</v>
      </c>
      <c r="C14" s="5" t="s">
        <v>11</v>
      </c>
      <c r="D14" s="5" t="s">
        <v>12</v>
      </c>
      <c r="E14" s="5" t="s">
        <v>12</v>
      </c>
      <c r="F14" s="47">
        <v>5</v>
      </c>
      <c r="G14" s="23">
        <v>150</v>
      </c>
      <c r="H14" s="72">
        <f>F14*G14</f>
        <v>750</v>
      </c>
      <c r="I14" s="72">
        <v>5</v>
      </c>
      <c r="J14" s="72">
        <v>6</v>
      </c>
      <c r="K14" s="72">
        <v>7</v>
      </c>
      <c r="L14" s="72">
        <f>H14</f>
        <v>750</v>
      </c>
      <c r="M14" s="72">
        <f>ROUND((L14*I14)/100,2)</f>
        <v>37.5</v>
      </c>
      <c r="N14" s="72">
        <f>H14-M14</f>
        <v>712.5</v>
      </c>
      <c r="O14" s="72">
        <f>ROUND((N14*J14)/100,2)</f>
        <v>42.75</v>
      </c>
      <c r="P14" s="72">
        <f>ROUND(N14-O14,2)</f>
        <v>669.75</v>
      </c>
      <c r="Q14" s="72">
        <f>ROUND((P14*K14)/100,2)</f>
        <v>46.88</v>
      </c>
      <c r="R14" s="23">
        <f>M14+O14+Q14</f>
        <v>127.13</v>
      </c>
      <c r="S14" s="72">
        <f>(H14-R14)</f>
        <v>622.87</v>
      </c>
      <c r="T14" s="23" t="s">
        <v>57</v>
      </c>
      <c r="U14" s="72">
        <v>0</v>
      </c>
      <c r="V14" s="72">
        <f>IF($C$2=1,ROUND(((S14*(U14/100))/2),2),0)</f>
        <v>0</v>
      </c>
      <c r="W14" s="23">
        <f>IF($C$2=1,ROUND(((S14*(U14/100))/2),2),0)</f>
        <v>0</v>
      </c>
      <c r="X14" s="23">
        <f>IF($C$2=2,ROUND(((S14*U14)),2),0)</f>
        <v>0</v>
      </c>
      <c r="Y14" s="23">
        <f>V14+W14+X14</f>
        <v>0</v>
      </c>
      <c r="Z14" s="23">
        <f>S14+Y14</f>
        <v>622.87</v>
      </c>
      <c r="AA14" s="23">
        <v>120</v>
      </c>
      <c r="AB14" s="23" t="e">
        <f>IF($P$2=1,(S14/$S$5)*#REF!,AA14/$AA$5*#REF!)</f>
        <v>#REF!</v>
      </c>
      <c r="AC14" s="23"/>
      <c r="AD14" s="23" t="e">
        <f>IF($P$2=1,(S14/$S$5)*#REF!,AA14/$AA$5*#REF!)</f>
        <v>#REF!</v>
      </c>
      <c r="AE14" s="23" t="e">
        <f>IF($P$2=1,(S14/$S$5)*#REF!,AA14/$AA$5*#REF!)</f>
        <v>#REF!</v>
      </c>
      <c r="AF14" s="23">
        <f>S14*$M$2</f>
        <v>622.87</v>
      </c>
      <c r="AG14" s="23">
        <f>IF($C$2=3,0,AD14+AE14)</f>
        <v>0</v>
      </c>
      <c r="AH14" s="23" t="e">
        <f>IF($C$2=3,AB14+AD14+AE14,0)</f>
        <v>#REF!</v>
      </c>
      <c r="AI14" s="47">
        <v>1</v>
      </c>
      <c r="AJ14" s="23">
        <f>F14/AI14</f>
        <v>5</v>
      </c>
      <c r="AK14" s="23">
        <f>AF14/AJ14</f>
        <v>124.574</v>
      </c>
      <c r="AL14" s="23">
        <f>AG14/AJ14</f>
        <v>0</v>
      </c>
      <c r="AM14" s="23" t="e">
        <f>AH14/AJ14</f>
        <v>#REF!</v>
      </c>
      <c r="AN14" s="23" t="s">
        <v>12</v>
      </c>
      <c r="AO14" s="23" t="e">
        <f>AK14+AL14+AM14</f>
        <v>#REF!</v>
      </c>
    </row>
    <row r="15" spans="1:41" ht="15.75" thickBot="1">
      <c r="A15" s="5">
        <v>2</v>
      </c>
      <c r="B15" s="75" t="s">
        <v>13</v>
      </c>
      <c r="C15" s="5" t="s">
        <v>13</v>
      </c>
      <c r="D15" s="5" t="s">
        <v>12</v>
      </c>
      <c r="E15" s="5" t="s">
        <v>12</v>
      </c>
      <c r="F15" s="47">
        <v>6</v>
      </c>
      <c r="G15" s="23">
        <v>200</v>
      </c>
      <c r="H15" s="72">
        <f>F15*G15</f>
        <v>1200</v>
      </c>
      <c r="I15" s="72">
        <v>0</v>
      </c>
      <c r="J15" s="72">
        <v>0</v>
      </c>
      <c r="K15" s="72">
        <v>0</v>
      </c>
      <c r="L15" s="72">
        <f>H15</f>
        <v>1200</v>
      </c>
      <c r="M15" s="72">
        <f>ROUND((L15*I15)/100,2)</f>
        <v>0</v>
      </c>
      <c r="N15" s="72">
        <f>H15-M15</f>
        <v>1200</v>
      </c>
      <c r="O15" s="72">
        <f>ROUND((N15*J15)/100,2)</f>
        <v>0</v>
      </c>
      <c r="P15" s="72">
        <f>ROUND(N15-O15,2)</f>
        <v>1200</v>
      </c>
      <c r="Q15" s="72">
        <f>ROUND((P15*K15)/100,2)</f>
        <v>0</v>
      </c>
      <c r="R15" s="23">
        <f>M15+O15+Q15</f>
        <v>0</v>
      </c>
      <c r="S15" s="72">
        <f>(H15-R15)</f>
        <v>1200</v>
      </c>
      <c r="T15" s="23" t="s">
        <v>57</v>
      </c>
      <c r="U15" s="72">
        <v>0</v>
      </c>
      <c r="V15" s="72">
        <f>IF($C$2=1,ROUND(((S15*(U15/100))/2),2),0)</f>
        <v>0</v>
      </c>
      <c r="W15" s="23">
        <f>IF($C$2=1,ROUND(((S15*(U15/100))/2),2),0)</f>
        <v>0</v>
      </c>
      <c r="X15" s="23">
        <f>IF($C$2=2,ROUND(((S15*U15)),2),0)</f>
        <v>0</v>
      </c>
      <c r="Y15" s="23">
        <f>V15+W15+X15</f>
        <v>0</v>
      </c>
      <c r="Z15" s="23">
        <f>S15+Y15</f>
        <v>1200</v>
      </c>
      <c r="AA15" s="23">
        <v>200</v>
      </c>
      <c r="AB15" s="23" t="e">
        <f>IF($P$2=1,(S15/$S$5)*#REF!,AA15/$AA$5*#REF!)</f>
        <v>#REF!</v>
      </c>
      <c r="AC15" s="23"/>
      <c r="AD15" s="23" t="e">
        <f>IF($P$2=1,(S15/$S$5)*#REF!,AA15/$AA$5*#REF!)</f>
        <v>#REF!</v>
      </c>
      <c r="AE15" s="23" t="e">
        <f>IF($P$2=1,(S15/$S$5)*#REF!,AA15/$AA$5*#REF!)</f>
        <v>#REF!</v>
      </c>
      <c r="AF15" s="23">
        <f>S15*$M$2</f>
        <v>1200</v>
      </c>
      <c r="AG15" s="23">
        <f>IF($C$2=3,0,AD15+AE15)</f>
        <v>0</v>
      </c>
      <c r="AH15" s="23" t="e">
        <f>IF($C$2=3,AB15+AD15+AE15,0)</f>
        <v>#REF!</v>
      </c>
      <c r="AI15" s="47">
        <v>1</v>
      </c>
      <c r="AJ15" s="23">
        <f>F15/AI15</f>
        <v>6</v>
      </c>
      <c r="AK15" s="23">
        <f>AF15/AJ15</f>
        <v>200</v>
      </c>
      <c r="AL15" s="23">
        <f>AG15/AJ15</f>
        <v>0</v>
      </c>
      <c r="AM15" s="23" t="e">
        <f>AH15/AJ15</f>
        <v>#REF!</v>
      </c>
      <c r="AN15" s="23" t="s">
        <v>12</v>
      </c>
      <c r="AO15" s="23" t="e">
        <f>AK15+AL15+AM15</f>
        <v>#REF!</v>
      </c>
    </row>
    <row r="16" spans="1:41" ht="15" thickBot="1">
      <c r="B16" s="81" t="s">
        <v>14</v>
      </c>
      <c r="C16" s="81"/>
      <c r="D16" s="81"/>
      <c r="E16" s="81"/>
      <c r="F16" s="81"/>
      <c r="G16" s="81"/>
      <c r="H16" s="74">
        <f>SUM(H14:H15)</f>
        <v>1950</v>
      </c>
      <c r="I16" s="5"/>
      <c r="J16" s="5"/>
      <c r="K16" s="5"/>
      <c r="L16" s="5"/>
      <c r="M16" s="5"/>
      <c r="N16" s="5"/>
      <c r="O16" s="5"/>
      <c r="P16" s="5"/>
      <c r="Q16" s="72">
        <f>ROUND((P16*K16)/100,2)</f>
        <v>0</v>
      </c>
      <c r="R16" s="7">
        <f t="shared" ref="R16:AB16" si="2">SUM(R14:R15)</f>
        <v>127.13</v>
      </c>
      <c r="S16" s="7">
        <f t="shared" si="2"/>
        <v>1822.87</v>
      </c>
      <c r="T16" s="7"/>
      <c r="U16" s="7"/>
      <c r="V16" s="48">
        <f t="shared" si="2"/>
        <v>0</v>
      </c>
      <c r="W16" s="48">
        <f t="shared" si="2"/>
        <v>0</v>
      </c>
      <c r="X16" s="48">
        <f t="shared" si="2"/>
        <v>0</v>
      </c>
      <c r="Y16" s="7">
        <f t="shared" si="2"/>
        <v>0</v>
      </c>
      <c r="Z16" s="18">
        <f t="shared" si="2"/>
        <v>1822.87</v>
      </c>
      <c r="AA16" s="69">
        <f t="shared" si="2"/>
        <v>320</v>
      </c>
      <c r="AB16" s="69" t="e">
        <f t="shared" si="2"/>
        <v>#REF!</v>
      </c>
      <c r="AC16" s="18"/>
      <c r="AD16" s="69" t="e">
        <f t="shared" ref="AD16:AH16" si="3">SUM(AD14:AD15)</f>
        <v>#REF!</v>
      </c>
      <c r="AE16" s="69" t="e">
        <f t="shared" si="3"/>
        <v>#REF!</v>
      </c>
      <c r="AF16" s="69">
        <f t="shared" si="3"/>
        <v>1822.87</v>
      </c>
      <c r="AG16" s="69">
        <f t="shared" si="3"/>
        <v>0</v>
      </c>
      <c r="AH16" s="69" t="e">
        <f t="shared" si="3"/>
        <v>#REF!</v>
      </c>
      <c r="AI16" s="18"/>
      <c r="AJ16" s="18"/>
      <c r="AK16" s="18"/>
      <c r="AL16" s="18"/>
      <c r="AM16" s="18"/>
      <c r="AN16" s="18"/>
      <c r="AO16" s="18"/>
    </row>
  </sheetData>
  <mergeCells count="6">
    <mergeCell ref="B16:G16"/>
    <mergeCell ref="A2:B2"/>
    <mergeCell ref="B5:G5"/>
    <mergeCell ref="A7:B7"/>
    <mergeCell ref="B10:G10"/>
    <mergeCell ref="A12:B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6"/>
  <sheetViews>
    <sheetView showGridLines="0" workbookViewId="0">
      <selection activeCell="Y13" sqref="Y13"/>
    </sheetView>
  </sheetViews>
  <sheetFormatPr defaultColWidth="9.140625" defaultRowHeight="14.25"/>
  <cols>
    <col min="1" max="1" width="8" style="2" customWidth="1"/>
    <col min="2" max="2" width="27.5703125" style="2" bestFit="1" customWidth="1"/>
    <col min="3" max="3" width="33.14062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3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3.5" thickBot="1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 thickBot="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0</v>
      </c>
      <c r="V4" s="72">
        <f>IF($C$2=1,ROUND(((S4*(U4/100))/2),2),0)</f>
        <v>0</v>
      </c>
      <c r="W4" s="72">
        <f>IF($C$2=1,ROUND(((S4*(U4/100))/2),2),0)</f>
        <v>0</v>
      </c>
      <c r="X4" s="72">
        <f>IF($C$2=2,ROUND(((S4*U4)),2),0)</f>
        <v>0</v>
      </c>
      <c r="Y4" s="72">
        <f>V4+W4+X4</f>
        <v>0</v>
      </c>
      <c r="Z4" s="23">
        <f>S4+Y4</f>
        <v>622.87</v>
      </c>
      <c r="AA4" s="23">
        <v>120</v>
      </c>
      <c r="AB4" s="23" t="e">
        <f>IF($P$2=1,(S4/$S$5)*#REF!,AA4/$AA$5*#REF!)</f>
        <v>#REF!</v>
      </c>
      <c r="AC4" s="23"/>
      <c r="AD4" s="23" t="e">
        <f>IF($P$2=1,(S4/$S$5)*#REF!,AA4/$AA$5*#REF!)</f>
        <v>#REF!</v>
      </c>
      <c r="AE4" s="23" t="e">
        <f>IF($P$2=1,(S4/$S$5)*#REF!,AA4/$AA$5*#REF!)</f>
        <v>#REF!</v>
      </c>
      <c r="AF4" s="23">
        <f>S4*$M$2</f>
        <v>622.87</v>
      </c>
      <c r="AG4" s="23">
        <f>IF($C$2=3,0,AD4+AE4)</f>
        <v>0</v>
      </c>
      <c r="AH4" s="23" t="e">
        <f>IF($C$2=3,AB4+AD4+AE4,0)</f>
        <v>#REF!</v>
      </c>
      <c r="AI4" s="47">
        <v>1</v>
      </c>
      <c r="AJ4" s="23">
        <f>F4/AI4</f>
        <v>5</v>
      </c>
      <c r="AK4" s="23">
        <f>AF4/AJ4</f>
        <v>124.574</v>
      </c>
      <c r="AL4" s="23">
        <f>AG4/AJ4</f>
        <v>0</v>
      </c>
      <c r="AM4" s="23" t="e">
        <f>AH4/AJ4</f>
        <v>#REF!</v>
      </c>
      <c r="AN4" s="23" t="s">
        <v>12</v>
      </c>
      <c r="AO4" s="23" t="e">
        <f>AK4+AL4+AM4</f>
        <v>#REF!</v>
      </c>
    </row>
    <row r="5" spans="1:41" ht="15" thickBot="1">
      <c r="B5" s="81" t="s">
        <v>14</v>
      </c>
      <c r="C5" s="81"/>
      <c r="D5" s="81"/>
      <c r="E5" s="81"/>
      <c r="F5" s="81"/>
      <c r="G5" s="81"/>
      <c r="H5" s="74">
        <f>SUM(H4:H4)</f>
        <v>750</v>
      </c>
      <c r="I5" s="5"/>
      <c r="J5" s="5"/>
      <c r="K5" s="5"/>
      <c r="L5" s="5"/>
      <c r="M5" s="5"/>
      <c r="N5" s="5"/>
      <c r="O5" s="5"/>
      <c r="P5" s="5"/>
      <c r="Q5" s="5"/>
      <c r="R5" s="7">
        <f t="shared" ref="R5:AB5" si="0">SUM(R4:R4)</f>
        <v>127.13</v>
      </c>
      <c r="S5" s="7">
        <f t="shared" si="0"/>
        <v>622.87</v>
      </c>
      <c r="T5" s="7"/>
      <c r="U5" s="7"/>
      <c r="V5" s="48">
        <f t="shared" si="0"/>
        <v>0</v>
      </c>
      <c r="W5" s="48">
        <f t="shared" si="0"/>
        <v>0</v>
      </c>
      <c r="X5" s="48">
        <f t="shared" si="0"/>
        <v>0</v>
      </c>
      <c r="Y5" s="7">
        <f t="shared" si="0"/>
        <v>0</v>
      </c>
      <c r="Z5" s="18">
        <f t="shared" si="0"/>
        <v>622.87</v>
      </c>
      <c r="AA5" s="69">
        <f t="shared" si="0"/>
        <v>120</v>
      </c>
      <c r="AB5" s="69" t="e">
        <f t="shared" si="0"/>
        <v>#REF!</v>
      </c>
      <c r="AC5" s="18"/>
      <c r="AD5" s="69" t="e">
        <f>SUM(AD4:AD4)</f>
        <v>#REF!</v>
      </c>
      <c r="AE5" s="69" t="e">
        <f>SUM(AE4:AE4)</f>
        <v>#REF!</v>
      </c>
      <c r="AF5" s="69">
        <f>SUM(AF4:AF4)</f>
        <v>622.87</v>
      </c>
      <c r="AG5" s="69">
        <f>SUM(AG4:AG4)</f>
        <v>0</v>
      </c>
      <c r="AH5" s="69" t="e">
        <f>SUM(AH4:AH4)</f>
        <v>#REF!</v>
      </c>
      <c r="AI5" s="18"/>
      <c r="AJ5" s="18"/>
      <c r="AK5" s="18"/>
      <c r="AL5" s="18"/>
      <c r="AM5" s="18"/>
      <c r="AN5" s="18"/>
      <c r="AO5" s="18"/>
    </row>
    <row r="6" spans="1:41">
      <c r="A6" s="40" t="s">
        <v>65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>
      <c r="A7" s="82" t="s">
        <v>16</v>
      </c>
      <c r="B7" s="82"/>
      <c r="C7" s="42">
        <v>3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2</v>
      </c>
      <c r="B9" s="73" t="s">
        <v>61</v>
      </c>
      <c r="C9" s="73" t="s">
        <v>61</v>
      </c>
      <c r="D9" s="5" t="s">
        <v>12</v>
      </c>
      <c r="E9" s="5" t="s">
        <v>12</v>
      </c>
      <c r="F9" s="47">
        <v>6</v>
      </c>
      <c r="G9" s="23">
        <v>200</v>
      </c>
      <c r="H9" s="72">
        <f>F9*G9</f>
        <v>1200</v>
      </c>
      <c r="I9" s="72">
        <v>0</v>
      </c>
      <c r="J9" s="72">
        <v>0</v>
      </c>
      <c r="K9" s="72">
        <v>0</v>
      </c>
      <c r="L9" s="72">
        <f>H9</f>
        <v>1200</v>
      </c>
      <c r="M9" s="72">
        <f>ROUND((L9*I9)/100,2)</f>
        <v>0</v>
      </c>
      <c r="N9" s="72">
        <f>H9-M9</f>
        <v>1200</v>
      </c>
      <c r="O9" s="72">
        <f>ROUND((N9*J9)/100,2)</f>
        <v>0</v>
      </c>
      <c r="P9" s="72">
        <f>ROUND(N9-O9,2)</f>
        <v>1200</v>
      </c>
      <c r="Q9" s="72">
        <f>ROUND((P9*K9)/100,2)</f>
        <v>0</v>
      </c>
      <c r="R9" s="23">
        <f>M9+O9+Q9</f>
        <v>0</v>
      </c>
      <c r="S9" s="23">
        <f>(H9-R9)</f>
        <v>1200</v>
      </c>
      <c r="T9" s="23" t="s">
        <v>57</v>
      </c>
      <c r="U9" s="72">
        <v>0</v>
      </c>
      <c r="V9" s="72">
        <f>IF($C$2=1,ROUND(((S9*(U9/100))/2),2),0)</f>
        <v>0</v>
      </c>
      <c r="W9" s="72">
        <f>IF($C$2=1,ROUND(((S9*(U9/100))/2),2),0)</f>
        <v>0</v>
      </c>
      <c r="X9" s="72">
        <f>IF($C$2=2,ROUND(((S9*U9)),2),0)</f>
        <v>0</v>
      </c>
      <c r="Y9" s="72">
        <f>V9+W9+X9</f>
        <v>0</v>
      </c>
      <c r="Z9" s="23">
        <f>S9+Y9</f>
        <v>1200</v>
      </c>
      <c r="AA9" s="23">
        <v>200</v>
      </c>
      <c r="AB9" s="23" t="e">
        <f>IF($P$2=1,(S9/$S$5)*#REF!,AA9/$AA$5*#REF!)</f>
        <v>#REF!</v>
      </c>
      <c r="AC9" s="23"/>
      <c r="AD9" s="23" t="e">
        <f>IF($P$2=1,(S9/$S$5)*#REF!,AA9/$AA$5*#REF!)</f>
        <v>#REF!</v>
      </c>
      <c r="AE9" s="23" t="e">
        <f>IF($P$2=1,(S9/$S$5)*#REF!,AA9/$AA$5*#REF!)</f>
        <v>#REF!</v>
      </c>
      <c r="AF9" s="23">
        <f>S9*$M$2</f>
        <v>1200</v>
      </c>
      <c r="AG9" s="23">
        <f>IF($C$2=3,0,AD9+AE9)</f>
        <v>0</v>
      </c>
      <c r="AH9" s="23" t="e">
        <f>IF($C$2=3,AB9+AD9+AE9,0)</f>
        <v>#REF!</v>
      </c>
      <c r="AI9" s="47">
        <v>1</v>
      </c>
      <c r="AJ9" s="23">
        <f>F9/AI9</f>
        <v>6</v>
      </c>
      <c r="AK9" s="23">
        <f>AF9/AJ9</f>
        <v>200</v>
      </c>
      <c r="AL9" s="23">
        <f>AG9/AJ9</f>
        <v>0</v>
      </c>
      <c r="AM9" s="23" t="e">
        <f>AH9/AJ9</f>
        <v>#REF!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1200</v>
      </c>
      <c r="I10" s="5"/>
      <c r="J10" s="5"/>
      <c r="K10" s="5"/>
      <c r="L10" s="5"/>
      <c r="M10" s="5"/>
      <c r="N10" s="5"/>
      <c r="O10" s="5"/>
      <c r="P10" s="5"/>
      <c r="Q10" s="5"/>
      <c r="R10" s="7">
        <f t="shared" ref="R10:AB10" si="1">SUM(R9:R9)</f>
        <v>0</v>
      </c>
      <c r="S10" s="7">
        <f t="shared" si="1"/>
        <v>1200</v>
      </c>
      <c r="T10" s="7"/>
      <c r="U10" s="7"/>
      <c r="V10" s="48">
        <f t="shared" si="1"/>
        <v>0</v>
      </c>
      <c r="W10" s="48">
        <f t="shared" si="1"/>
        <v>0</v>
      </c>
      <c r="X10" s="48">
        <f t="shared" si="1"/>
        <v>0</v>
      </c>
      <c r="Y10" s="7">
        <f t="shared" si="1"/>
        <v>0</v>
      </c>
      <c r="Z10" s="18">
        <f t="shared" si="1"/>
        <v>1200</v>
      </c>
      <c r="AA10" s="69">
        <f t="shared" si="1"/>
        <v>200</v>
      </c>
      <c r="AB10" s="69" t="e">
        <f t="shared" si="1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1200</v>
      </c>
      <c r="AG10" s="69">
        <f>SUM(AG9:AG9)</f>
        <v>0</v>
      </c>
      <c r="AH10" s="69" t="e">
        <f>SUM(AH9:AH9)</f>
        <v>#REF!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66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3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" thickBot="1">
      <c r="A14" s="5">
        <v>1</v>
      </c>
      <c r="B14" s="71" t="s">
        <v>59</v>
      </c>
      <c r="C14" s="71" t="s">
        <v>60</v>
      </c>
      <c r="D14" s="5" t="s">
        <v>12</v>
      </c>
      <c r="E14" s="5" t="s">
        <v>12</v>
      </c>
      <c r="F14" s="47">
        <v>5</v>
      </c>
      <c r="G14" s="23">
        <v>150</v>
      </c>
      <c r="H14" s="72">
        <f>F14*G14</f>
        <v>750</v>
      </c>
      <c r="I14" s="72">
        <v>5</v>
      </c>
      <c r="J14" s="72">
        <v>6</v>
      </c>
      <c r="K14" s="72">
        <v>7</v>
      </c>
      <c r="L14" s="72">
        <f>H14</f>
        <v>750</v>
      </c>
      <c r="M14" s="72">
        <f>ROUND((L14*I14)/100,2)</f>
        <v>37.5</v>
      </c>
      <c r="N14" s="72">
        <f>H14-M14</f>
        <v>712.5</v>
      </c>
      <c r="O14" s="72">
        <f>ROUND((N14*J14)/100,2)</f>
        <v>42.75</v>
      </c>
      <c r="P14" s="72">
        <f>ROUND(N14-O14,2)</f>
        <v>669.75</v>
      </c>
      <c r="Q14" s="72">
        <f>ROUND((P14*K14)/100,2)</f>
        <v>46.88</v>
      </c>
      <c r="R14" s="23">
        <f>M14+O14+Q14</f>
        <v>127.13</v>
      </c>
      <c r="S14" s="72">
        <f>(H14-R14)</f>
        <v>622.87</v>
      </c>
      <c r="T14" s="23" t="s">
        <v>57</v>
      </c>
      <c r="U14" s="72">
        <v>0</v>
      </c>
      <c r="V14" s="72">
        <f>IF($C$17=1,ROUND(((S14*(U14/100))/2),2),0)</f>
        <v>0</v>
      </c>
      <c r="W14" s="72">
        <f>IF($C$17=1,ROUND(((S14*(U14/100))/2),2),0)</f>
        <v>0</v>
      </c>
      <c r="X14" s="72">
        <f>IF($C$17=2,ROUND(((S14*U14)),2),0)</f>
        <v>0</v>
      </c>
      <c r="Y14" s="72">
        <f>V14+W14+X14</f>
        <v>0</v>
      </c>
      <c r="Z14" s="23">
        <f>S14+Y14</f>
        <v>622.87</v>
      </c>
      <c r="AA14" s="23">
        <v>120</v>
      </c>
      <c r="AB14" s="23" t="e">
        <f>IF($P$2=1,(S14/$S$5)*#REF!,AA14/$AA$5*#REF!)</f>
        <v>#REF!</v>
      </c>
      <c r="AC14" s="23"/>
      <c r="AD14" s="23" t="e">
        <f>IF($P$2=1,(S14/$S$5)*#REF!,AA14/$AA$5*#REF!)</f>
        <v>#REF!</v>
      </c>
      <c r="AE14" s="23" t="e">
        <f>IF($P$2=1,(S14/$S$5)*#REF!,AA14/$AA$5*#REF!)</f>
        <v>#REF!</v>
      </c>
      <c r="AF14" s="23">
        <f>S14*$M$2</f>
        <v>622.87</v>
      </c>
      <c r="AG14" s="23">
        <f>IF($C$2=3,0,AD14+AE14)</f>
        <v>0</v>
      </c>
      <c r="AH14" s="23" t="e">
        <f>IF($C$2=3,AB14+AD14+AE14,0)</f>
        <v>#REF!</v>
      </c>
      <c r="AI14" s="47">
        <v>1</v>
      </c>
      <c r="AJ14" s="23">
        <f>F14/AI14</f>
        <v>5</v>
      </c>
      <c r="AK14" s="23">
        <f>AF14/AJ14</f>
        <v>124.574</v>
      </c>
      <c r="AL14" s="23">
        <f>AG14/AJ14</f>
        <v>0</v>
      </c>
      <c r="AM14" s="23" t="e">
        <f>AH14/AJ14</f>
        <v>#REF!</v>
      </c>
      <c r="AN14" s="23" t="s">
        <v>12</v>
      </c>
      <c r="AO14" s="23" t="e">
        <f>AK14+AL14+AM14</f>
        <v>#REF!</v>
      </c>
    </row>
    <row r="15" spans="1:41" ht="15.75" thickBot="1">
      <c r="A15" s="5">
        <v>2</v>
      </c>
      <c r="B15" s="73" t="s">
        <v>61</v>
      </c>
      <c r="C15" s="73" t="s">
        <v>61</v>
      </c>
      <c r="D15" s="5" t="s">
        <v>12</v>
      </c>
      <c r="E15" s="5" t="s">
        <v>12</v>
      </c>
      <c r="F15" s="47">
        <v>6</v>
      </c>
      <c r="G15" s="23">
        <v>200</v>
      </c>
      <c r="H15" s="72">
        <f>F15*G15</f>
        <v>1200</v>
      </c>
      <c r="I15" s="72">
        <v>0</v>
      </c>
      <c r="J15" s="72">
        <v>0</v>
      </c>
      <c r="K15" s="72">
        <v>0</v>
      </c>
      <c r="L15" s="72">
        <f>H15</f>
        <v>1200</v>
      </c>
      <c r="M15" s="72">
        <f>ROUND((L15*I15)/100,2)</f>
        <v>0</v>
      </c>
      <c r="N15" s="72">
        <f>H15-M15</f>
        <v>1200</v>
      </c>
      <c r="O15" s="72">
        <f>ROUND((N15*J15)/100,2)</f>
        <v>0</v>
      </c>
      <c r="P15" s="72">
        <f>ROUND(N15-O15,2)</f>
        <v>1200</v>
      </c>
      <c r="Q15" s="72">
        <f>ROUND((P15*K15)/100,2)</f>
        <v>0</v>
      </c>
      <c r="R15" s="23">
        <f>M15+O15+Q15</f>
        <v>0</v>
      </c>
      <c r="S15" s="72">
        <f>(H15-R15)</f>
        <v>1200</v>
      </c>
      <c r="T15" s="23" t="s">
        <v>57</v>
      </c>
      <c r="U15" s="72">
        <v>0</v>
      </c>
      <c r="V15" s="72">
        <f>IF($C$17=1,ROUND(((S15*(U15/100))/2),2),0)</f>
        <v>0</v>
      </c>
      <c r="W15" s="72">
        <f>IF($C$17=1,ROUND(((S15*(U15/100))/2),2),0)</f>
        <v>0</v>
      </c>
      <c r="X15" s="72">
        <f>IF($C$17=2,ROUND(((S15*U15)),2),0)</f>
        <v>0</v>
      </c>
      <c r="Y15" s="72">
        <f>V15+W15+X15</f>
        <v>0</v>
      </c>
      <c r="Z15" s="23">
        <f>S15+Y15</f>
        <v>1200</v>
      </c>
      <c r="AA15" s="23">
        <v>200</v>
      </c>
      <c r="AB15" s="23" t="e">
        <f>IF($P$2=1,(S15/$S$5)*#REF!,AA15/$AA$5*#REF!)</f>
        <v>#REF!</v>
      </c>
      <c r="AC15" s="23"/>
      <c r="AD15" s="23" t="e">
        <f>IF($P$2=1,(S15/$S$5)*#REF!,AA15/$AA$5*#REF!)</f>
        <v>#REF!</v>
      </c>
      <c r="AE15" s="23" t="e">
        <f>IF($P$2=1,(S15/$S$5)*#REF!,AA15/$AA$5*#REF!)</f>
        <v>#REF!</v>
      </c>
      <c r="AF15" s="23">
        <f>S15*$M$2</f>
        <v>1200</v>
      </c>
      <c r="AG15" s="23">
        <f>IF($C$2=3,0,AD15+AE15)</f>
        <v>0</v>
      </c>
      <c r="AH15" s="23" t="e">
        <f>IF($C$2=3,AB15+AD15+AE15,0)</f>
        <v>#REF!</v>
      </c>
      <c r="AI15" s="47">
        <v>1</v>
      </c>
      <c r="AJ15" s="23">
        <f>F15/AI15</f>
        <v>6</v>
      </c>
      <c r="AK15" s="23">
        <f>AF15/AJ15</f>
        <v>200</v>
      </c>
      <c r="AL15" s="23">
        <f>AG15/AJ15</f>
        <v>0</v>
      </c>
      <c r="AM15" s="23" t="e">
        <f>AH15/AJ15</f>
        <v>#REF!</v>
      </c>
      <c r="AN15" s="23" t="s">
        <v>12</v>
      </c>
      <c r="AO15" s="23" t="e">
        <f>AK15+AL15+AM15</f>
        <v>#REF!</v>
      </c>
    </row>
    <row r="16" spans="1:41" ht="15" thickBot="1">
      <c r="B16" s="81" t="s">
        <v>14</v>
      </c>
      <c r="C16" s="81"/>
      <c r="D16" s="81"/>
      <c r="E16" s="81"/>
      <c r="F16" s="81"/>
      <c r="G16" s="81"/>
      <c r="H16" s="74">
        <f>SUM(H14:H15)</f>
        <v>1950</v>
      </c>
      <c r="I16" s="5"/>
      <c r="J16" s="5"/>
      <c r="K16" s="5"/>
      <c r="L16" s="5"/>
      <c r="M16" s="5"/>
      <c r="N16" s="5"/>
      <c r="O16" s="5"/>
      <c r="P16" s="5"/>
      <c r="Q16" s="72">
        <f>ROUND((P16*K16)/100,2)</f>
        <v>0</v>
      </c>
      <c r="R16" s="7">
        <f t="shared" ref="R16:AB16" si="2">SUM(R14:R15)</f>
        <v>127.13</v>
      </c>
      <c r="S16" s="7">
        <f t="shared" si="2"/>
        <v>1822.87</v>
      </c>
      <c r="T16" s="7"/>
      <c r="U16" s="7"/>
      <c r="V16" s="48">
        <f t="shared" si="2"/>
        <v>0</v>
      </c>
      <c r="W16" s="48">
        <f t="shared" si="2"/>
        <v>0</v>
      </c>
      <c r="X16" s="48">
        <f t="shared" si="2"/>
        <v>0</v>
      </c>
      <c r="Y16" s="7">
        <f t="shared" si="2"/>
        <v>0</v>
      </c>
      <c r="Z16" s="18">
        <f t="shared" si="2"/>
        <v>1822.87</v>
      </c>
      <c r="AA16" s="69">
        <f t="shared" si="2"/>
        <v>320</v>
      </c>
      <c r="AB16" s="69" t="e">
        <f t="shared" si="2"/>
        <v>#REF!</v>
      </c>
      <c r="AC16" s="18"/>
      <c r="AD16" s="69" t="e">
        <f t="shared" ref="AD16:AH16" si="3">SUM(AD14:AD15)</f>
        <v>#REF!</v>
      </c>
      <c r="AE16" s="69" t="e">
        <f t="shared" si="3"/>
        <v>#REF!</v>
      </c>
      <c r="AF16" s="69">
        <f t="shared" si="3"/>
        <v>1822.87</v>
      </c>
      <c r="AG16" s="69">
        <f t="shared" si="3"/>
        <v>0</v>
      </c>
      <c r="AH16" s="69" t="e">
        <f t="shared" si="3"/>
        <v>#REF!</v>
      </c>
      <c r="AI16" s="18"/>
      <c r="AJ16" s="18"/>
      <c r="AK16" s="18"/>
      <c r="AL16" s="18"/>
      <c r="AM16" s="18"/>
      <c r="AN16" s="18"/>
      <c r="AO16" s="18"/>
    </row>
  </sheetData>
  <mergeCells count="6">
    <mergeCell ref="B16:G16"/>
    <mergeCell ref="A2:B2"/>
    <mergeCell ref="B5:G5"/>
    <mergeCell ref="A7:B7"/>
    <mergeCell ref="B10:G10"/>
    <mergeCell ref="A12:B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6"/>
  <sheetViews>
    <sheetView showGridLines="0" topLeftCell="AF1" workbookViewId="0">
      <selection activeCell="A14" sqref="A14:AO15"/>
    </sheetView>
  </sheetViews>
  <sheetFormatPr defaultColWidth="9.140625" defaultRowHeight="14.25"/>
  <cols>
    <col min="1" max="1" width="8" style="2" customWidth="1"/>
    <col min="2" max="2" width="27.5703125" style="2" bestFit="1" customWidth="1"/>
    <col min="3" max="3" width="33.14062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3.5" thickBot="1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 thickBot="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12</v>
      </c>
      <c r="V4" s="23">
        <f>IF($C$2=1,ROUND(((S4*(U4/100))/2),2),0)</f>
        <v>37.369999999999997</v>
      </c>
      <c r="W4" s="23">
        <f>IF($C$2=1,ROUND(((S4*(U4/100))/2),2),0)</f>
        <v>37.369999999999997</v>
      </c>
      <c r="X4" s="23">
        <f>IF($C$2=2,ROUND(((S4*U4)),2),0)</f>
        <v>0</v>
      </c>
      <c r="Y4" s="23">
        <f>V4+W4+X4</f>
        <v>74.739999999999995</v>
      </c>
      <c r="Z4" s="23">
        <f>S4+Y4</f>
        <v>697.61</v>
      </c>
      <c r="AA4" s="23">
        <v>120</v>
      </c>
      <c r="AB4" s="23" t="e">
        <f>IF($P$2=1,(S4/$S$5)*#REF!,AA4/$AA$5*#REF!)</f>
        <v>#REF!</v>
      </c>
      <c r="AC4" s="23"/>
      <c r="AD4" s="23" t="e">
        <f>IF($P$2=1,(S4/$S$5)*#REF!,AA4/$AA$5*#REF!)</f>
        <v>#REF!</v>
      </c>
      <c r="AE4" s="23" t="e">
        <f>IF($P$2=1,(S4/$S$5)*#REF!,AA4/$AA$5*#REF!)</f>
        <v>#REF!</v>
      </c>
      <c r="AF4" s="23">
        <f>S4*$M$2</f>
        <v>622.87</v>
      </c>
      <c r="AG4" s="23" t="e">
        <f>IF($C$2=3,0,AD4+AE4)</f>
        <v>#REF!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#REF!</v>
      </c>
      <c r="AM4" s="23">
        <f>AH4/AJ4</f>
        <v>0</v>
      </c>
      <c r="AN4" s="23" t="s">
        <v>12</v>
      </c>
      <c r="AO4" s="23" t="e">
        <f>AK4+AL4+AM4</f>
        <v>#REF!</v>
      </c>
    </row>
    <row r="5" spans="1:41" ht="15" thickBot="1">
      <c r="B5" s="81" t="s">
        <v>14</v>
      </c>
      <c r="C5" s="81"/>
      <c r="D5" s="81"/>
      <c r="E5" s="81"/>
      <c r="F5" s="81"/>
      <c r="G5" s="81"/>
      <c r="H5" s="74">
        <f>SUM(H4:H4)</f>
        <v>750</v>
      </c>
      <c r="I5" s="5"/>
      <c r="J5" s="5"/>
      <c r="K5" s="5"/>
      <c r="L5" s="5"/>
      <c r="M5" s="5"/>
      <c r="N5" s="5"/>
      <c r="O5" s="5"/>
      <c r="P5" s="5"/>
      <c r="Q5" s="5"/>
      <c r="R5" s="7">
        <f t="shared" ref="R5:AB5" si="0">SUM(R4:R4)</f>
        <v>127.13</v>
      </c>
      <c r="S5" s="7">
        <f t="shared" si="0"/>
        <v>622.87</v>
      </c>
      <c r="T5" s="7"/>
      <c r="U5" s="7"/>
      <c r="V5" s="48">
        <f t="shared" si="0"/>
        <v>37.369999999999997</v>
      </c>
      <c r="W5" s="48">
        <f t="shared" si="0"/>
        <v>37.369999999999997</v>
      </c>
      <c r="X5" s="48">
        <f t="shared" si="0"/>
        <v>0</v>
      </c>
      <c r="Y5" s="7">
        <f t="shared" si="0"/>
        <v>74.739999999999995</v>
      </c>
      <c r="Z5" s="18">
        <f t="shared" si="0"/>
        <v>697.61</v>
      </c>
      <c r="AA5" s="69">
        <f t="shared" si="0"/>
        <v>120</v>
      </c>
      <c r="AB5" s="69" t="e">
        <f t="shared" si="0"/>
        <v>#REF!</v>
      </c>
      <c r="AC5" s="18"/>
      <c r="AD5" s="69" t="e">
        <f>SUM(AD4:AD4)</f>
        <v>#REF!</v>
      </c>
      <c r="AE5" s="69" t="e">
        <f>SUM(AE4:AE4)</f>
        <v>#REF!</v>
      </c>
      <c r="AF5" s="69">
        <f>SUM(AF4:AF4)</f>
        <v>622.87</v>
      </c>
      <c r="AG5" s="69" t="e">
        <f>SUM(AG4:AG4)</f>
        <v>#REF!</v>
      </c>
      <c r="AH5" s="69">
        <f>SUM(AH4:AH4)</f>
        <v>0</v>
      </c>
      <c r="AI5" s="18"/>
      <c r="AJ5" s="18"/>
      <c r="AK5" s="18"/>
      <c r="AL5" s="18"/>
      <c r="AM5" s="18"/>
      <c r="AN5" s="18"/>
      <c r="AO5" s="18"/>
    </row>
    <row r="6" spans="1:41">
      <c r="A6" s="40" t="s">
        <v>65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2</v>
      </c>
      <c r="B9" s="73" t="s">
        <v>61</v>
      </c>
      <c r="C9" s="73" t="s">
        <v>61</v>
      </c>
      <c r="D9" s="5" t="s">
        <v>12</v>
      </c>
      <c r="E9" s="5" t="s">
        <v>12</v>
      </c>
      <c r="F9" s="47">
        <v>6</v>
      </c>
      <c r="G9" s="23">
        <v>200</v>
      </c>
      <c r="H9" s="72">
        <f>F9*G9</f>
        <v>1200</v>
      </c>
      <c r="I9" s="72">
        <v>0</v>
      </c>
      <c r="J9" s="72">
        <v>0</v>
      </c>
      <c r="K9" s="72">
        <v>0</v>
      </c>
      <c r="L9" s="72">
        <f>H9</f>
        <v>1200</v>
      </c>
      <c r="M9" s="72">
        <f>ROUND((L9*I9)/100,2)</f>
        <v>0</v>
      </c>
      <c r="N9" s="72">
        <f>H9-M9</f>
        <v>1200</v>
      </c>
      <c r="O9" s="72">
        <f>ROUND((N9*J9)/100,2)</f>
        <v>0</v>
      </c>
      <c r="P9" s="72">
        <f>ROUND(N9-O9,2)</f>
        <v>1200</v>
      </c>
      <c r="Q9" s="72">
        <f>ROUND((P9*K9)/100,2)</f>
        <v>0</v>
      </c>
      <c r="R9" s="23">
        <f>M9+O9+Q9</f>
        <v>0</v>
      </c>
      <c r="S9" s="23">
        <f>(H9-R9)</f>
        <v>1200</v>
      </c>
      <c r="T9" s="23" t="s">
        <v>57</v>
      </c>
      <c r="U9" s="72">
        <v>5</v>
      </c>
      <c r="V9" s="23">
        <f>IF($C$2=1,ROUND(((S9*(U9/100))/2),2),0)</f>
        <v>30</v>
      </c>
      <c r="W9" s="23">
        <f>IF($C$2=1,ROUND(((S9*(U9/100))/2),2),0)</f>
        <v>30</v>
      </c>
      <c r="X9" s="23">
        <f>IF($C$2=2,ROUND(((S9*U9)),2),0)</f>
        <v>0</v>
      </c>
      <c r="Y9" s="23">
        <f>V9+W9+X9</f>
        <v>60</v>
      </c>
      <c r="Z9" s="23">
        <f>S9+Y9</f>
        <v>1260</v>
      </c>
      <c r="AA9" s="23">
        <v>200</v>
      </c>
      <c r="AB9" s="23" t="e">
        <f>IF($P$2=1,(S9/$S$5)*#REF!,AA9/$AA$5*#REF!)</f>
        <v>#REF!</v>
      </c>
      <c r="AC9" s="23"/>
      <c r="AD9" s="23" t="e">
        <f>IF($P$2=1,(S9/$S$5)*#REF!,AA9/$AA$5*#REF!)</f>
        <v>#REF!</v>
      </c>
      <c r="AE9" s="23" t="e">
        <f>IF($P$2=1,(S9/$S$5)*#REF!,AA9/$AA$5*#REF!)</f>
        <v>#REF!</v>
      </c>
      <c r="AF9" s="23">
        <f>S9*$M$2</f>
        <v>1200</v>
      </c>
      <c r="AG9" s="23" t="e">
        <f>IF($C$2=3,0,AD9+AE9)</f>
        <v>#REF!</v>
      </c>
      <c r="AH9" s="23">
        <f>IF($C$2=3,AB9+AD9+AE9,0)</f>
        <v>0</v>
      </c>
      <c r="AI9" s="47">
        <v>1</v>
      </c>
      <c r="AJ9" s="23">
        <f>F9/AI9</f>
        <v>6</v>
      </c>
      <c r="AK9" s="23">
        <f>AF9/AJ9</f>
        <v>200</v>
      </c>
      <c r="AL9" s="23" t="e">
        <f>AG9/AJ9</f>
        <v>#REF!</v>
      </c>
      <c r="AM9" s="23">
        <f>AH9/AJ9</f>
        <v>0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1200</v>
      </c>
      <c r="I10" s="5"/>
      <c r="J10" s="5"/>
      <c r="K10" s="5"/>
      <c r="L10" s="5"/>
      <c r="M10" s="5"/>
      <c r="N10" s="5"/>
      <c r="O10" s="5"/>
      <c r="P10" s="5"/>
      <c r="Q10" s="5"/>
      <c r="R10" s="7">
        <f t="shared" ref="R10:AB10" si="1">SUM(R9:R9)</f>
        <v>0</v>
      </c>
      <c r="S10" s="7">
        <f t="shared" si="1"/>
        <v>1200</v>
      </c>
      <c r="T10" s="7"/>
      <c r="U10" s="7"/>
      <c r="V10" s="48">
        <f t="shared" si="1"/>
        <v>30</v>
      </c>
      <c r="W10" s="48">
        <f t="shared" si="1"/>
        <v>30</v>
      </c>
      <c r="X10" s="48">
        <f t="shared" si="1"/>
        <v>0</v>
      </c>
      <c r="Y10" s="7">
        <f t="shared" si="1"/>
        <v>60</v>
      </c>
      <c r="Z10" s="18">
        <f t="shared" si="1"/>
        <v>1260</v>
      </c>
      <c r="AA10" s="69">
        <f t="shared" si="1"/>
        <v>200</v>
      </c>
      <c r="AB10" s="69" t="e">
        <f t="shared" si="1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1200</v>
      </c>
      <c r="AG10" s="69" t="e">
        <f>SUM(AG9:AG9)</f>
        <v>#REF!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66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" thickBot="1">
      <c r="A14" s="5">
        <v>1</v>
      </c>
      <c r="B14" s="71" t="s">
        <v>59</v>
      </c>
      <c r="C14" s="71" t="s">
        <v>60</v>
      </c>
      <c r="D14" s="5" t="s">
        <v>12</v>
      </c>
      <c r="E14" s="5" t="s">
        <v>12</v>
      </c>
      <c r="F14" s="47">
        <v>5</v>
      </c>
      <c r="G14" s="23">
        <v>150</v>
      </c>
      <c r="H14" s="72">
        <f>F14*G14</f>
        <v>750</v>
      </c>
      <c r="I14" s="72">
        <v>5</v>
      </c>
      <c r="J14" s="72">
        <v>6</v>
      </c>
      <c r="K14" s="72">
        <v>7</v>
      </c>
      <c r="L14" s="72">
        <f>H14</f>
        <v>750</v>
      </c>
      <c r="M14" s="72">
        <f>ROUND((L14*I14)/100,2)</f>
        <v>37.5</v>
      </c>
      <c r="N14" s="72">
        <f>H14-M14</f>
        <v>712.5</v>
      </c>
      <c r="O14" s="72">
        <f>ROUND((N14*J14)/100,2)</f>
        <v>42.75</v>
      </c>
      <c r="P14" s="72">
        <f>ROUND(N14-O14,2)</f>
        <v>669.75</v>
      </c>
      <c r="Q14" s="72">
        <f>ROUND((P14*K14)/100,2)</f>
        <v>46.88</v>
      </c>
      <c r="R14" s="23">
        <f>M14+O14+Q14</f>
        <v>127.13</v>
      </c>
      <c r="S14" s="72">
        <f>(H14-R14)</f>
        <v>622.87</v>
      </c>
      <c r="T14" s="23" t="s">
        <v>57</v>
      </c>
      <c r="U14" s="72">
        <v>12</v>
      </c>
      <c r="V14" s="72">
        <f>IF($C$2=1,ROUND(((S14*(U14/100))/2),2),0)</f>
        <v>37.369999999999997</v>
      </c>
      <c r="W14" s="23">
        <f>IF($C$2=1,ROUND(((S14*(U14/100))/2),2),0)</f>
        <v>37.369999999999997</v>
      </c>
      <c r="X14" s="23">
        <f>IF($C$2=2,ROUND(((S14*U14)),2),0)</f>
        <v>0</v>
      </c>
      <c r="Y14" s="23">
        <f>V14+W14+X14</f>
        <v>74.739999999999995</v>
      </c>
      <c r="Z14" s="23">
        <f>S14+Y14</f>
        <v>697.61</v>
      </c>
      <c r="AA14" s="23">
        <v>120</v>
      </c>
      <c r="AB14" s="23" t="e">
        <f>IF($P$2=1,(S14/$S$5)*#REF!,AA14/$AA$5*#REF!)</f>
        <v>#REF!</v>
      </c>
      <c r="AC14" s="23"/>
      <c r="AD14" s="23" t="e">
        <f>IF($P$2=1,(S14/$S$5)*#REF!,AA14/$AA$5*#REF!)</f>
        <v>#REF!</v>
      </c>
      <c r="AE14" s="23" t="e">
        <f>IF($P$2=1,(S14/$S$5)*#REF!,AA14/$AA$5*#REF!)</f>
        <v>#REF!</v>
      </c>
      <c r="AF14" s="23">
        <f>S14*$M$2</f>
        <v>622.87</v>
      </c>
      <c r="AG14" s="23" t="e">
        <f>IF($C$2=3,0,AD14+AE14)</f>
        <v>#REF!</v>
      </c>
      <c r="AH14" s="23">
        <f>IF($C$2=3,AB14+AD14+AE14,0)</f>
        <v>0</v>
      </c>
      <c r="AI14" s="47">
        <v>1</v>
      </c>
      <c r="AJ14" s="23">
        <f>F14/AI14</f>
        <v>5</v>
      </c>
      <c r="AK14" s="23">
        <f>AF14/AJ14</f>
        <v>124.574</v>
      </c>
      <c r="AL14" s="23" t="e">
        <f>AG14/AJ14</f>
        <v>#REF!</v>
      </c>
      <c r="AM14" s="23">
        <f>AH14/AJ14</f>
        <v>0</v>
      </c>
      <c r="AN14" s="23" t="s">
        <v>12</v>
      </c>
      <c r="AO14" s="23" t="e">
        <f>AK14+AL14+AM14</f>
        <v>#REF!</v>
      </c>
    </row>
    <row r="15" spans="1:41" ht="15.75" thickBot="1">
      <c r="A15" s="5">
        <v>2</v>
      </c>
      <c r="B15" s="73" t="s">
        <v>61</v>
      </c>
      <c r="C15" s="73" t="s">
        <v>61</v>
      </c>
      <c r="D15" s="5" t="s">
        <v>12</v>
      </c>
      <c r="E15" s="5" t="s">
        <v>12</v>
      </c>
      <c r="F15" s="47">
        <v>6</v>
      </c>
      <c r="G15" s="23">
        <v>200</v>
      </c>
      <c r="H15" s="72">
        <f>F15*G15</f>
        <v>1200</v>
      </c>
      <c r="I15" s="72">
        <v>0</v>
      </c>
      <c r="J15" s="72">
        <v>0</v>
      </c>
      <c r="K15" s="72">
        <v>0</v>
      </c>
      <c r="L15" s="72">
        <f>H15</f>
        <v>1200</v>
      </c>
      <c r="M15" s="72">
        <f>ROUND((L15*I15)/100,2)</f>
        <v>0</v>
      </c>
      <c r="N15" s="72">
        <f>H15-M15</f>
        <v>1200</v>
      </c>
      <c r="O15" s="72">
        <f>ROUND((N15*J15)/100,2)</f>
        <v>0</v>
      </c>
      <c r="P15" s="72">
        <f>ROUND(N15-O15,2)</f>
        <v>1200</v>
      </c>
      <c r="Q15" s="72">
        <f>ROUND((P15*K15)/100,2)</f>
        <v>0</v>
      </c>
      <c r="R15" s="23">
        <f>M15+O15+Q15</f>
        <v>0</v>
      </c>
      <c r="S15" s="72">
        <f>(H15-R15)</f>
        <v>1200</v>
      </c>
      <c r="T15" s="23" t="s">
        <v>57</v>
      </c>
      <c r="U15" s="72">
        <v>5</v>
      </c>
      <c r="V15" s="72">
        <f>IF($C$2=1,ROUND(((S15*(U15/100))/2),2),0)</f>
        <v>30</v>
      </c>
      <c r="W15" s="23">
        <f>IF($C$2=1,ROUND(((S15*(U15/100))/2),2),0)</f>
        <v>30</v>
      </c>
      <c r="X15" s="23">
        <f>IF($C$2=2,ROUND(((S15*U15)),2),0)</f>
        <v>0</v>
      </c>
      <c r="Y15" s="23">
        <f>V15+W15+X15</f>
        <v>60</v>
      </c>
      <c r="Z15" s="23">
        <f>S15+Y15</f>
        <v>1260</v>
      </c>
      <c r="AA15" s="23">
        <v>200</v>
      </c>
      <c r="AB15" s="23" t="e">
        <f>IF($P$2=1,(S15/$S$5)*#REF!,AA15/$AA$5*#REF!)</f>
        <v>#REF!</v>
      </c>
      <c r="AC15" s="23"/>
      <c r="AD15" s="23" t="e">
        <f>IF($P$2=1,(S15/$S$5)*#REF!,AA15/$AA$5*#REF!)</f>
        <v>#REF!</v>
      </c>
      <c r="AE15" s="23" t="e">
        <f>IF($P$2=1,(S15/$S$5)*#REF!,AA15/$AA$5*#REF!)</f>
        <v>#REF!</v>
      </c>
      <c r="AF15" s="23">
        <f>S15*$M$2</f>
        <v>1200</v>
      </c>
      <c r="AG15" s="23" t="e">
        <f>IF($C$2=3,0,AD15+AE15)</f>
        <v>#REF!</v>
      </c>
      <c r="AH15" s="23">
        <f>IF($C$2=3,AB15+AD15+AE15,0)</f>
        <v>0</v>
      </c>
      <c r="AI15" s="47">
        <v>1</v>
      </c>
      <c r="AJ15" s="23">
        <f>F15/AI15</f>
        <v>6</v>
      </c>
      <c r="AK15" s="23">
        <f>AF15/AJ15</f>
        <v>200</v>
      </c>
      <c r="AL15" s="23" t="e">
        <f>AG15/AJ15</f>
        <v>#REF!</v>
      </c>
      <c r="AM15" s="23">
        <f>AH15/AJ15</f>
        <v>0</v>
      </c>
      <c r="AN15" s="23" t="s">
        <v>12</v>
      </c>
      <c r="AO15" s="23" t="e">
        <f>AK15+AL15+AM15</f>
        <v>#REF!</v>
      </c>
    </row>
    <row r="16" spans="1:41" ht="15" thickBot="1">
      <c r="B16" s="81" t="s">
        <v>14</v>
      </c>
      <c r="C16" s="81"/>
      <c r="D16" s="81"/>
      <c r="E16" s="81"/>
      <c r="F16" s="81"/>
      <c r="G16" s="81"/>
      <c r="H16" s="74">
        <f>SUM(H14:H15)</f>
        <v>1950</v>
      </c>
      <c r="I16" s="5"/>
      <c r="J16" s="5"/>
      <c r="K16" s="5"/>
      <c r="L16" s="5"/>
      <c r="M16" s="5"/>
      <c r="N16" s="5"/>
      <c r="O16" s="5"/>
      <c r="P16" s="5"/>
      <c r="Q16" s="72">
        <f>ROUND((P16*K16)/100,2)</f>
        <v>0</v>
      </c>
      <c r="R16" s="7">
        <f t="shared" ref="R16:AB16" si="2">SUM(R14:R15)</f>
        <v>127.13</v>
      </c>
      <c r="S16" s="7">
        <f t="shared" si="2"/>
        <v>1822.87</v>
      </c>
      <c r="T16" s="7"/>
      <c r="U16" s="7"/>
      <c r="V16" s="48">
        <f t="shared" si="2"/>
        <v>67.37</v>
      </c>
      <c r="W16" s="48">
        <f t="shared" si="2"/>
        <v>67.37</v>
      </c>
      <c r="X16" s="48">
        <f t="shared" si="2"/>
        <v>0</v>
      </c>
      <c r="Y16" s="7">
        <f t="shared" si="2"/>
        <v>134.74</v>
      </c>
      <c r="Z16" s="18">
        <f t="shared" si="2"/>
        <v>1957.6100000000001</v>
      </c>
      <c r="AA16" s="69">
        <f t="shared" si="2"/>
        <v>320</v>
      </c>
      <c r="AB16" s="69" t="e">
        <f t="shared" si="2"/>
        <v>#REF!</v>
      </c>
      <c r="AC16" s="18"/>
      <c r="AD16" s="69" t="e">
        <f t="shared" ref="AD16:AH16" si="3">SUM(AD14:AD15)</f>
        <v>#REF!</v>
      </c>
      <c r="AE16" s="69" t="e">
        <f t="shared" si="3"/>
        <v>#REF!</v>
      </c>
      <c r="AF16" s="69">
        <f t="shared" si="3"/>
        <v>1822.87</v>
      </c>
      <c r="AG16" s="69" t="e">
        <f t="shared" si="3"/>
        <v>#REF!</v>
      </c>
      <c r="AH16" s="69">
        <f t="shared" si="3"/>
        <v>0</v>
      </c>
      <c r="AI16" s="18"/>
      <c r="AJ16" s="18"/>
      <c r="AK16" s="18"/>
      <c r="AL16" s="18"/>
      <c r="AM16" s="18"/>
      <c r="AN16" s="18"/>
      <c r="AO16" s="18"/>
    </row>
  </sheetData>
  <mergeCells count="6">
    <mergeCell ref="B16:G16"/>
    <mergeCell ref="A2:B2"/>
    <mergeCell ref="B5:G5"/>
    <mergeCell ref="A7:B7"/>
    <mergeCell ref="B10:G10"/>
    <mergeCell ref="A12:B1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21"/>
  <sheetViews>
    <sheetView showGridLines="0" tabSelected="1" topLeftCell="P4" workbookViewId="0">
      <selection activeCell="U13" sqref="U13"/>
    </sheetView>
  </sheetViews>
  <sheetFormatPr defaultColWidth="9.140625" defaultRowHeight="14.25"/>
  <cols>
    <col min="1" max="1" width="8" style="2" customWidth="1"/>
    <col min="2" max="2" width="27.5703125" style="2" bestFit="1" customWidth="1"/>
    <col min="3" max="3" width="33.14062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 thickBot="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3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" thickBot="1">
      <c r="A9" s="5">
        <v>1</v>
      </c>
      <c r="B9" s="71" t="s">
        <v>59</v>
      </c>
      <c r="C9" s="71" t="s">
        <v>60</v>
      </c>
      <c r="D9" s="5" t="s">
        <v>12</v>
      </c>
      <c r="E9" s="5" t="s">
        <v>12</v>
      </c>
      <c r="F9" s="47">
        <f>ROUND(F4*AI9,2)</f>
        <v>30</v>
      </c>
      <c r="G9" s="23">
        <f>ROUND(G4/AI9,2)</f>
        <v>25</v>
      </c>
      <c r="H9" s="72">
        <f>F9*G9</f>
        <v>750</v>
      </c>
      <c r="I9" s="72">
        <v>5</v>
      </c>
      <c r="J9" s="72">
        <v>6</v>
      </c>
      <c r="K9" s="72">
        <v>7</v>
      </c>
      <c r="L9" s="72">
        <f>H9</f>
        <v>750</v>
      </c>
      <c r="M9" s="72">
        <f>ROUND((L9*I9)/100,2)</f>
        <v>37.5</v>
      </c>
      <c r="N9" s="72">
        <f>H9-M9</f>
        <v>712.5</v>
      </c>
      <c r="O9" s="72">
        <f>ROUND((N9*J9)/100,2)</f>
        <v>42.75</v>
      </c>
      <c r="P9" s="72">
        <f>ROUND(N9-O9,2)</f>
        <v>669.75</v>
      </c>
      <c r="Q9" s="72">
        <f>ROUND((P9*K9)/100,2)</f>
        <v>46.88</v>
      </c>
      <c r="R9" s="23">
        <f>M9+O9+Q9</f>
        <v>127.13</v>
      </c>
      <c r="S9" s="72">
        <f>(H9-R9)</f>
        <v>622.87</v>
      </c>
      <c r="T9" s="23" t="s">
        <v>57</v>
      </c>
      <c r="U9" s="72">
        <v>0</v>
      </c>
      <c r="V9" s="72">
        <f>IF($C$7=1,ROUND(((S9*(U9/100))/2),2),0)</f>
        <v>0</v>
      </c>
      <c r="W9" s="23">
        <f>IF($C$71,ROUND(((S9*(U9/100))/2),2),0)</f>
        <v>0</v>
      </c>
      <c r="X9" s="23">
        <f>IF($C$7=2,ROUND(((S9*U9)),2),0)</f>
        <v>0</v>
      </c>
      <c r="Y9" s="23">
        <f>V9+W9+X9</f>
        <v>0</v>
      </c>
      <c r="Z9" s="23">
        <f>S9+Y9</f>
        <v>622.87</v>
      </c>
      <c r="AA9" s="23">
        <v>120</v>
      </c>
      <c r="AB9" s="23" t="e">
        <f>IF($P$2=1,(S9/$S$5)*#REF!,AA9/$AA$5*#REF!)</f>
        <v>#DIV/0!</v>
      </c>
      <c r="AC9" s="23"/>
      <c r="AD9" s="23" t="e">
        <f>IF($P$2=1,(S9/$S$5)*#REF!,AA9/$AA$5*#REF!)</f>
        <v>#DIV/0!</v>
      </c>
      <c r="AE9" s="23" t="e">
        <f>IF($P$2=1,(S9/$S$5)*#REF!,AA9/$AA$5*#REF!)</f>
        <v>#DIV/0!</v>
      </c>
      <c r="AF9" s="23">
        <f>S9*$M$2</f>
        <v>0</v>
      </c>
      <c r="AG9" s="23" t="e">
        <f>IF($C$2=3,0,AD9+AE9)</f>
        <v>#DIV/0!</v>
      </c>
      <c r="AH9" s="23">
        <f>IF($C$2=3,AB9+AD9+AE9,0)</f>
        <v>0</v>
      </c>
      <c r="AI9" s="72">
        <v>6</v>
      </c>
      <c r="AJ9" s="23">
        <f>F9/AI9</f>
        <v>5</v>
      </c>
      <c r="AK9" s="23">
        <f>AF9/AJ9</f>
        <v>0</v>
      </c>
      <c r="AL9" s="23" t="e">
        <f>AG9/AJ9</f>
        <v>#DIV/0!</v>
      </c>
      <c r="AM9" s="23">
        <f>AH9/AJ9</f>
        <v>0</v>
      </c>
      <c r="AN9" s="23" t="s">
        <v>12</v>
      </c>
      <c r="AO9" s="23" t="e">
        <f>AK9+AL9+AM9</f>
        <v>#DIV/0!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127.13</v>
      </c>
      <c r="S10" s="7">
        <f>SUM(S9:S9)</f>
        <v>622.87</v>
      </c>
      <c r="T10" s="7"/>
      <c r="U10" s="7"/>
      <c r="V10" s="48">
        <f t="shared" ref="V10:AB10" si="0">SUM(V9:V9)</f>
        <v>0</v>
      </c>
      <c r="W10" s="48">
        <f t="shared" si="0"/>
        <v>0</v>
      </c>
      <c r="X10" s="48">
        <f t="shared" si="0"/>
        <v>0</v>
      </c>
      <c r="Y10" s="7">
        <f t="shared" si="0"/>
        <v>0</v>
      </c>
      <c r="Z10" s="18">
        <f t="shared" si="0"/>
        <v>622.87</v>
      </c>
      <c r="AA10" s="69">
        <f t="shared" si="0"/>
        <v>120</v>
      </c>
      <c r="AB10" s="69" t="e">
        <f t="shared" si="0"/>
        <v>#DIV/0!</v>
      </c>
      <c r="AC10" s="18"/>
      <c r="AD10" s="69" t="e">
        <f>SUM(AD9:AD9)</f>
        <v>#DIV/0!</v>
      </c>
      <c r="AE10" s="69" t="e">
        <f>SUM(AE9:AE9)</f>
        <v>#DIV/0!</v>
      </c>
      <c r="AF10" s="69">
        <f>SUM(AF9:AF9)</f>
        <v>0</v>
      </c>
      <c r="AG10" s="69" t="e">
        <f>SUM(AG9:AG9)</f>
        <v>#DIV/0!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3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2</v>
      </c>
      <c r="B14" s="73" t="s">
        <v>61</v>
      </c>
      <c r="C14" s="73" t="s">
        <v>61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72">
        <f>(H14-R14)</f>
        <v>1200</v>
      </c>
      <c r="T14" s="23" t="s">
        <v>57</v>
      </c>
      <c r="U14" s="72">
        <v>0</v>
      </c>
      <c r="V14" s="72">
        <f>IF($C$12=1,ROUND(((S14*(U14/100))/2),2),0)</f>
        <v>0</v>
      </c>
      <c r="W14" s="23">
        <f>IF($C$12=1,ROUND(((S14*(U14/100))/2),2),0)</f>
        <v>0</v>
      </c>
      <c r="X14" s="23">
        <f>IF($C$12=2,ROUND(((S14*U14)),2),0)</f>
        <v>0</v>
      </c>
      <c r="Y14" s="23">
        <f>V14+W14+X14</f>
        <v>0</v>
      </c>
      <c r="Z14" s="23">
        <f>S14+Y14</f>
        <v>1200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0</v>
      </c>
      <c r="W15" s="48">
        <f t="shared" si="1"/>
        <v>0</v>
      </c>
      <c r="X15" s="48">
        <f t="shared" si="1"/>
        <v>0</v>
      </c>
      <c r="Y15" s="7">
        <f t="shared" si="1"/>
        <v>0</v>
      </c>
      <c r="Z15" s="18">
        <f t="shared" si="1"/>
        <v>1200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3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" thickBot="1">
      <c r="A19" s="5">
        <v>1</v>
      </c>
      <c r="B19" s="71" t="s">
        <v>59</v>
      </c>
      <c r="C19" s="71" t="s">
        <v>60</v>
      </c>
      <c r="D19" s="5" t="s">
        <v>12</v>
      </c>
      <c r="E19" s="5" t="s">
        <v>12</v>
      </c>
      <c r="F19" s="47">
        <f>ROUND(F4*AI19,2)</f>
        <v>30</v>
      </c>
      <c r="G19" s="23">
        <f>ROUND(G4/AI19,2)</f>
        <v>25</v>
      </c>
      <c r="H19" s="72">
        <f>F19*G19</f>
        <v>750</v>
      </c>
      <c r="I19" s="72">
        <v>5</v>
      </c>
      <c r="J19" s="72">
        <v>6</v>
      </c>
      <c r="K19" s="72">
        <v>7</v>
      </c>
      <c r="L19" s="72">
        <f>H19</f>
        <v>750</v>
      </c>
      <c r="M19" s="72">
        <f>ROUND((L19*I19)/100,2)</f>
        <v>37.5</v>
      </c>
      <c r="N19" s="72">
        <f>H19-M19</f>
        <v>712.5</v>
      </c>
      <c r="O19" s="72">
        <f>ROUND((N19*J19)/100,2)</f>
        <v>42.75</v>
      </c>
      <c r="P19" s="72">
        <f>ROUND(N19-O19,2)</f>
        <v>669.75</v>
      </c>
      <c r="Q19" s="72">
        <f>ROUND((P19*K19)/100,2)</f>
        <v>46.88</v>
      </c>
      <c r="R19" s="23">
        <f>M19+O19+Q19</f>
        <v>127.13</v>
      </c>
      <c r="S19" s="72">
        <f>(H19-R19)</f>
        <v>622.87</v>
      </c>
      <c r="T19" s="23" t="s">
        <v>57</v>
      </c>
      <c r="U19" s="72">
        <v>0</v>
      </c>
      <c r="V19" s="72">
        <f>IF($C$17=1,ROUND(((S19*(U19/100))/2),2),0)</f>
        <v>0</v>
      </c>
      <c r="W19" s="23">
        <f>IF($C$17=1,ROUND(((S19*(U19/100))/2),2),0)</f>
        <v>0</v>
      </c>
      <c r="X19" s="23">
        <f>IF($C$17=2,ROUND(((S19*U19)),2),0)</f>
        <v>0</v>
      </c>
      <c r="Y19" s="23">
        <f>V19+W19+X19</f>
        <v>0</v>
      </c>
      <c r="Z19" s="23">
        <f>S19+Y19</f>
        <v>622.87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72">
        <v>6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3" t="s">
        <v>61</v>
      </c>
      <c r="C20" s="73" t="s">
        <v>61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0</v>
      </c>
      <c r="V20" s="72">
        <f>IF($C$17=1,ROUND(((S20*(U20/100))/2),2),0)</f>
        <v>0</v>
      </c>
      <c r="W20" s="23">
        <f>IF($C$17=1,ROUND(((S20*(U20/100))/2),2),0)</f>
        <v>0</v>
      </c>
      <c r="X20" s="23">
        <f>IF($C$17=2,ROUND(((S20*U20)),2),0)</f>
        <v>0</v>
      </c>
      <c r="Y20" s="23">
        <f>V20+W20+X20</f>
        <v>0</v>
      </c>
      <c r="Z20" s="23">
        <f>S20+Y20</f>
        <v>1200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72">
        <v>6</v>
      </c>
      <c r="AJ20" s="23">
        <f>F20/AI20</f>
        <v>1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127.13</v>
      </c>
      <c r="S21" s="7">
        <f t="shared" si="2"/>
        <v>1822.87</v>
      </c>
      <c r="T21" s="7"/>
      <c r="U21" s="7"/>
      <c r="V21" s="48">
        <f t="shared" si="2"/>
        <v>0</v>
      </c>
      <c r="W21" s="48">
        <f t="shared" si="2"/>
        <v>0</v>
      </c>
      <c r="X21" s="48">
        <f t="shared" si="2"/>
        <v>0</v>
      </c>
      <c r="Y21" s="7">
        <f t="shared" si="2"/>
        <v>0</v>
      </c>
      <c r="Z21" s="18">
        <f t="shared" si="2"/>
        <v>1822.87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1"/>
  <sheetViews>
    <sheetView showGridLines="0" topLeftCell="O7" workbookViewId="0">
      <selection activeCell="W17" sqref="W17"/>
    </sheetView>
  </sheetViews>
  <sheetFormatPr defaultColWidth="9.140625" defaultRowHeight="14.25"/>
  <cols>
    <col min="1" max="1" width="8" style="2" customWidth="1"/>
    <col min="2" max="2" width="27.5703125" style="2" bestFit="1" customWidth="1"/>
    <col min="3" max="3" width="33.14062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 thickBot="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" thickBot="1">
      <c r="A9" s="5">
        <v>1</v>
      </c>
      <c r="B9" s="71" t="s">
        <v>59</v>
      </c>
      <c r="C9" s="71" t="s">
        <v>60</v>
      </c>
      <c r="D9" s="5" t="s">
        <v>12</v>
      </c>
      <c r="E9" s="5" t="s">
        <v>12</v>
      </c>
      <c r="F9" s="47">
        <f>ROUND(F4*AI9,2)</f>
        <v>30</v>
      </c>
      <c r="G9" s="23">
        <f>ROUND(G4/AI9,2)</f>
        <v>25</v>
      </c>
      <c r="H9" s="72">
        <f>F9*G9</f>
        <v>750</v>
      </c>
      <c r="I9" s="72">
        <v>5</v>
      </c>
      <c r="J9" s="72">
        <v>6</v>
      </c>
      <c r="K9" s="72">
        <v>7</v>
      </c>
      <c r="L9" s="72">
        <f>H9</f>
        <v>750</v>
      </c>
      <c r="M9" s="72">
        <f>ROUND((L9*I9)/100,2)</f>
        <v>37.5</v>
      </c>
      <c r="N9" s="72">
        <f>H9-M9</f>
        <v>712.5</v>
      </c>
      <c r="O9" s="72">
        <f>ROUND((N9*J9)/100,2)</f>
        <v>42.75</v>
      </c>
      <c r="P9" s="72">
        <f>ROUND(N9-O9,2)</f>
        <v>669.75</v>
      </c>
      <c r="Q9" s="72">
        <f>ROUND((P9*K9)/100,2)</f>
        <v>46.88</v>
      </c>
      <c r="R9" s="23">
        <f>M9+O9+Q9</f>
        <v>127.13</v>
      </c>
      <c r="S9" s="72">
        <f>(H9-R9)</f>
        <v>622.87</v>
      </c>
      <c r="T9" s="23" t="s">
        <v>57</v>
      </c>
      <c r="U9" s="72">
        <v>12</v>
      </c>
      <c r="V9" s="72">
        <f>IF($C$7=1,ROUND(((S9*(U9/100))/2),2),0)</f>
        <v>37.369999999999997</v>
      </c>
      <c r="W9" s="23">
        <f>IF($C$71,ROUND(((S9*(U9/100))/2),2),0)</f>
        <v>0</v>
      </c>
      <c r="X9" s="23">
        <f>IF($C$7=2,ROUND(((S9*U9)),2),0)</f>
        <v>0</v>
      </c>
      <c r="Y9" s="23">
        <f>V9+W9+X9</f>
        <v>37.369999999999997</v>
      </c>
      <c r="Z9" s="23">
        <f>S9+Y9</f>
        <v>660.24</v>
      </c>
      <c r="AA9" s="23">
        <v>120</v>
      </c>
      <c r="AB9" s="23" t="e">
        <f>IF($P$2=1,(S9/$S$5)*#REF!,AA9/$AA$5*#REF!)</f>
        <v>#DIV/0!</v>
      </c>
      <c r="AC9" s="23"/>
      <c r="AD9" s="23" t="e">
        <f>IF($P$2=1,(S9/$S$5)*#REF!,AA9/$AA$5*#REF!)</f>
        <v>#DIV/0!</v>
      </c>
      <c r="AE9" s="23" t="e">
        <f>IF($P$2=1,(S9/$S$5)*#REF!,AA9/$AA$5*#REF!)</f>
        <v>#DIV/0!</v>
      </c>
      <c r="AF9" s="23">
        <f>S9*$M$2</f>
        <v>0</v>
      </c>
      <c r="AG9" s="23" t="e">
        <f>IF($C$2=3,0,AD9+AE9)</f>
        <v>#DIV/0!</v>
      </c>
      <c r="AH9" s="23">
        <f>IF($C$2=3,AB9+AD9+AE9,0)</f>
        <v>0</v>
      </c>
      <c r="AI9" s="72">
        <v>6</v>
      </c>
      <c r="AJ9" s="23">
        <f>F9/AI9</f>
        <v>5</v>
      </c>
      <c r="AK9" s="23">
        <f>AF9/AJ9</f>
        <v>0</v>
      </c>
      <c r="AL9" s="23" t="e">
        <f>AG9/AJ9</f>
        <v>#DIV/0!</v>
      </c>
      <c r="AM9" s="23">
        <f>AH9/AJ9</f>
        <v>0</v>
      </c>
      <c r="AN9" s="23" t="s">
        <v>12</v>
      </c>
      <c r="AO9" s="23" t="e">
        <f>AK9+AL9+AM9</f>
        <v>#DIV/0!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127.13</v>
      </c>
      <c r="S10" s="7">
        <f>SUM(S9:S9)</f>
        <v>622.87</v>
      </c>
      <c r="T10" s="7"/>
      <c r="U10" s="7"/>
      <c r="V10" s="48">
        <f t="shared" ref="V10:AB10" si="0">SUM(V9:V9)</f>
        <v>37.369999999999997</v>
      </c>
      <c r="W10" s="48">
        <f t="shared" si="0"/>
        <v>0</v>
      </c>
      <c r="X10" s="48">
        <f t="shared" si="0"/>
        <v>0</v>
      </c>
      <c r="Y10" s="7">
        <f t="shared" si="0"/>
        <v>37.369999999999997</v>
      </c>
      <c r="Z10" s="18">
        <f t="shared" si="0"/>
        <v>660.24</v>
      </c>
      <c r="AA10" s="69">
        <f t="shared" si="0"/>
        <v>120</v>
      </c>
      <c r="AB10" s="69" t="e">
        <f t="shared" si="0"/>
        <v>#DIV/0!</v>
      </c>
      <c r="AC10" s="18"/>
      <c r="AD10" s="69" t="e">
        <f>SUM(AD9:AD9)</f>
        <v>#DIV/0!</v>
      </c>
      <c r="AE10" s="69" t="e">
        <f>SUM(AE9:AE9)</f>
        <v>#DIV/0!</v>
      </c>
      <c r="AF10" s="69">
        <f>SUM(AF9:AF9)</f>
        <v>0</v>
      </c>
      <c r="AG10" s="69" t="e">
        <f>SUM(AG9:AG9)</f>
        <v>#DIV/0!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2</v>
      </c>
      <c r="B14" s="73" t="s">
        <v>61</v>
      </c>
      <c r="C14" s="73" t="s">
        <v>61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72">
        <f>(H14-R14)</f>
        <v>1200</v>
      </c>
      <c r="T14" s="23" t="s">
        <v>57</v>
      </c>
      <c r="U14" s="72">
        <v>5</v>
      </c>
      <c r="V14" s="72">
        <f>IF($C$12=1,ROUND(((S14*(U14/100))/2),2),0)</f>
        <v>30</v>
      </c>
      <c r="W14" s="23">
        <f>IF($C$12=1,ROUND(((S14*(U14/100))/2),2),0)</f>
        <v>30</v>
      </c>
      <c r="X14" s="23">
        <f>IF($C$12=2,ROUND(((S14*U14)),2),0)</f>
        <v>0</v>
      </c>
      <c r="Y14" s="23">
        <f>V14+W14+X14</f>
        <v>60</v>
      </c>
      <c r="Z14" s="23">
        <f>S14+Y14</f>
        <v>1260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30</v>
      </c>
      <c r="W15" s="48">
        <f t="shared" si="1"/>
        <v>30</v>
      </c>
      <c r="X15" s="48">
        <f t="shared" si="1"/>
        <v>0</v>
      </c>
      <c r="Y15" s="7">
        <f t="shared" si="1"/>
        <v>60</v>
      </c>
      <c r="Z15" s="18">
        <f t="shared" si="1"/>
        <v>1260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1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" thickBot="1">
      <c r="A19" s="5">
        <v>1</v>
      </c>
      <c r="B19" s="71" t="s">
        <v>59</v>
      </c>
      <c r="C19" s="71" t="s">
        <v>60</v>
      </c>
      <c r="D19" s="5" t="s">
        <v>12</v>
      </c>
      <c r="E19" s="5" t="s">
        <v>12</v>
      </c>
      <c r="F19" s="47">
        <f>ROUND(F4*AI19,2)</f>
        <v>30</v>
      </c>
      <c r="G19" s="23">
        <f>ROUND(G4/AI19,2)</f>
        <v>25</v>
      </c>
      <c r="H19" s="72">
        <f>F19*G19</f>
        <v>750</v>
      </c>
      <c r="I19" s="72">
        <v>5</v>
      </c>
      <c r="J19" s="72">
        <v>6</v>
      </c>
      <c r="K19" s="72">
        <v>7</v>
      </c>
      <c r="L19" s="72">
        <f>H19</f>
        <v>750</v>
      </c>
      <c r="M19" s="72">
        <f>ROUND((L19*I19)/100,2)</f>
        <v>37.5</v>
      </c>
      <c r="N19" s="72">
        <f>H19-M19</f>
        <v>712.5</v>
      </c>
      <c r="O19" s="72">
        <f>ROUND((N19*J19)/100,2)</f>
        <v>42.75</v>
      </c>
      <c r="P19" s="72">
        <f>ROUND(N19-O19,2)</f>
        <v>669.75</v>
      </c>
      <c r="Q19" s="72">
        <f>ROUND((P19*K19)/100,2)</f>
        <v>46.88</v>
      </c>
      <c r="R19" s="23">
        <f>M19+O19+Q19</f>
        <v>127.13</v>
      </c>
      <c r="S19" s="72">
        <f>(H19-R19)</f>
        <v>622.87</v>
      </c>
      <c r="T19" s="23" t="s">
        <v>57</v>
      </c>
      <c r="U19" s="72">
        <v>12</v>
      </c>
      <c r="V19" s="72">
        <f>IF($C$17=1,ROUND(((S19*(U19/100))/2),2),0)</f>
        <v>37.369999999999997</v>
      </c>
      <c r="W19" s="23">
        <f>IF($C$17=1,ROUND(((S19*(U19/100))/2),2),0)</f>
        <v>37.369999999999997</v>
      </c>
      <c r="X19" s="23">
        <f>IF($C$17=2,ROUND(((S19*U19)),2),0)</f>
        <v>0</v>
      </c>
      <c r="Y19" s="23">
        <f>V19+W19+X19</f>
        <v>74.739999999999995</v>
      </c>
      <c r="Z19" s="23">
        <f>S19+Y19</f>
        <v>697.61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72">
        <v>6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3" t="s">
        <v>61</v>
      </c>
      <c r="C20" s="73" t="s">
        <v>61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5</v>
      </c>
      <c r="V20" s="72">
        <f>IF($C$17=1,ROUND(((S20*(U20/100))/2),2),0)</f>
        <v>30</v>
      </c>
      <c r="W20" s="23">
        <f>IF($C$17=1,ROUND(((S20*(U20/100))/2),2),0)</f>
        <v>30</v>
      </c>
      <c r="X20" s="23">
        <f>IF($C$17=2,ROUND(((S20*U20)),2),0)</f>
        <v>0</v>
      </c>
      <c r="Y20" s="23">
        <f>V20+W20+X20</f>
        <v>60</v>
      </c>
      <c r="Z20" s="23">
        <f>S20+Y20</f>
        <v>1260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72">
        <v>6</v>
      </c>
      <c r="AJ20" s="23">
        <f>F20/AI20</f>
        <v>1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127.13</v>
      </c>
      <c r="S21" s="7">
        <f t="shared" si="2"/>
        <v>1822.87</v>
      </c>
      <c r="T21" s="7"/>
      <c r="U21" s="7"/>
      <c r="V21" s="48">
        <f t="shared" si="2"/>
        <v>67.37</v>
      </c>
      <c r="W21" s="48">
        <f t="shared" si="2"/>
        <v>67.37</v>
      </c>
      <c r="X21" s="48">
        <f t="shared" si="2"/>
        <v>0</v>
      </c>
      <c r="Y21" s="7">
        <f t="shared" si="2"/>
        <v>134.74</v>
      </c>
      <c r="Z21" s="18">
        <f t="shared" si="2"/>
        <v>1957.6100000000001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activeCell="F10" sqref="F10"/>
    </sheetView>
  </sheetViews>
  <sheetFormatPr defaultColWidth="9.140625" defaultRowHeight="14.25"/>
  <cols>
    <col min="1" max="1" width="8" style="2" customWidth="1"/>
    <col min="2" max="2" width="27.5703125" style="2" customWidth="1"/>
    <col min="3" max="3" width="33.140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58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3" t="s">
        <v>61</v>
      </c>
      <c r="C5" s="73" t="s">
        <v>61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1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>
      <c r="A10" s="5">
        <v>1</v>
      </c>
      <c r="B10" s="71" t="s">
        <v>59</v>
      </c>
      <c r="C10" s="71" t="s">
        <v>60</v>
      </c>
      <c r="D10" s="5" t="s">
        <v>12</v>
      </c>
      <c r="E10" s="5" t="s">
        <v>12</v>
      </c>
      <c r="F10" s="47">
        <f>ROUND(F4*AI10,2)</f>
        <v>30</v>
      </c>
      <c r="G10" s="23">
        <f>ROUND(G4/AI10,2)</f>
        <v>25</v>
      </c>
      <c r="H10" s="72">
        <f>F10*G10</f>
        <v>750</v>
      </c>
      <c r="I10" s="72">
        <v>5</v>
      </c>
      <c r="J10" s="72">
        <v>6</v>
      </c>
      <c r="K10" s="72">
        <v>7</v>
      </c>
      <c r="L10" s="72">
        <f>H10</f>
        <v>750</v>
      </c>
      <c r="M10" s="72">
        <f>ROUND((L10*I10)/100,2)</f>
        <v>37.5</v>
      </c>
      <c r="N10" s="72">
        <f>H10-M10</f>
        <v>712.5</v>
      </c>
      <c r="O10" s="72">
        <f>ROUND((N10*J10)/100,2)</f>
        <v>42.75</v>
      </c>
      <c r="P10" s="72">
        <f>ROUND(N10-O10,2)</f>
        <v>669.75</v>
      </c>
      <c r="Q10" s="72">
        <f>ROUND((P10*K10)/100,2)</f>
        <v>46.88</v>
      </c>
      <c r="R10" s="23">
        <f>M10+O10+Q10</f>
        <v>127.13</v>
      </c>
      <c r="S10" s="23">
        <f>(H10-R10)</f>
        <v>622.87</v>
      </c>
      <c r="T10" s="23" t="s">
        <v>57</v>
      </c>
      <c r="U10" s="72">
        <v>12</v>
      </c>
      <c r="V10" s="23">
        <f>IF($C$8=1,ROUND(((S10*(U10/100))/2),2),0)</f>
        <v>37.369999999999997</v>
      </c>
      <c r="W10" s="23">
        <f>IF($C$8=1,ROUND(((S10*(U10/100))/2),2),0)</f>
        <v>37.369999999999997</v>
      </c>
      <c r="X10" s="23">
        <f>IF($C$8=2,ROUND(((S10*U10)),2),0)</f>
        <v>0</v>
      </c>
      <c r="Y10" s="23">
        <f>V10+W10+X10</f>
        <v>74.739999999999995</v>
      </c>
      <c r="Z10" s="23">
        <f>S10+Y10</f>
        <v>697.61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622.87</v>
      </c>
      <c r="AG10" s="23" t="e">
        <f>IF($C$8=3,0,AD10+AE10)</f>
        <v>#REF!</v>
      </c>
      <c r="AH10" s="23">
        <f>IF($C$8=3,AB10+AD10+AE10,0)</f>
        <v>0</v>
      </c>
      <c r="AI10" s="47">
        <v>6</v>
      </c>
      <c r="AJ10" s="23">
        <f>F10/AI10</f>
        <v>5</v>
      </c>
      <c r="AK10" s="23">
        <f>AF10/AJ10</f>
        <v>124.574</v>
      </c>
      <c r="AL10" s="23" t="e">
        <f>AG10/AJ10</f>
        <v>#REF!</v>
      </c>
      <c r="AM10" s="23">
        <f>AH10/AJ10</f>
        <v>0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3" t="s">
        <v>61</v>
      </c>
      <c r="C11" s="73" t="s">
        <v>61</v>
      </c>
      <c r="D11" s="5" t="s">
        <v>12</v>
      </c>
      <c r="E11" s="5" t="s">
        <v>12</v>
      </c>
      <c r="F11" s="47">
        <f>ROUND(F5*AI11,2)</f>
        <v>36</v>
      </c>
      <c r="G11" s="23">
        <f>ROUND(G5/AI11,2)</f>
        <v>33.33</v>
      </c>
      <c r="H11" s="72">
        <f>F11*G11</f>
        <v>1199.8800000000001</v>
      </c>
      <c r="I11" s="72">
        <v>5</v>
      </c>
      <c r="J11" s="72">
        <v>2</v>
      </c>
      <c r="K11" s="72">
        <v>1</v>
      </c>
      <c r="L11" s="72">
        <f>H11</f>
        <v>1199.8800000000001</v>
      </c>
      <c r="M11" s="72">
        <f>ROUND((L11*I11)/100,2)</f>
        <v>59.99</v>
      </c>
      <c r="N11" s="72">
        <f>H11-M11</f>
        <v>1139.8900000000001</v>
      </c>
      <c r="O11" s="72">
        <f>ROUND((N11*J11)/100,2)</f>
        <v>22.8</v>
      </c>
      <c r="P11" s="72">
        <f>ROUND(N11-O11,2)</f>
        <v>1117.0899999999999</v>
      </c>
      <c r="Q11" s="72">
        <f>ROUND((P11*K11)/100,2)</f>
        <v>11.17</v>
      </c>
      <c r="R11" s="23">
        <f>M11+O11+Q11</f>
        <v>93.96</v>
      </c>
      <c r="S11" s="23">
        <f>(H11-R11)</f>
        <v>1105.92</v>
      </c>
      <c r="T11" s="23" t="s">
        <v>57</v>
      </c>
      <c r="U11" s="72">
        <v>5</v>
      </c>
      <c r="V11" s="23">
        <f>IF($C$8=1,ROUND(((S11*(U11/100))/2),2),0)</f>
        <v>27.65</v>
      </c>
      <c r="W11" s="23">
        <f>IF($C$8=1,ROUND(((S11*(U11/100))/2),2),0)</f>
        <v>27.65</v>
      </c>
      <c r="X11" s="23">
        <f>IF($C$8=2,ROUND(((S11*U11)),2),0)</f>
        <v>0</v>
      </c>
      <c r="Y11" s="23">
        <f>V11+W11+X11</f>
        <v>55.3</v>
      </c>
      <c r="Z11" s="23">
        <f>S11+Y11</f>
        <v>1161.22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1105.92</v>
      </c>
      <c r="AG11" s="23" t="e">
        <f>IF($C$8=3,0,AD11+AE11)</f>
        <v>#REF!</v>
      </c>
      <c r="AH11" s="23">
        <f>IF($C$8=3,AB11+AD11+AE11,0)</f>
        <v>0</v>
      </c>
      <c r="AI11" s="47">
        <v>6</v>
      </c>
      <c r="AJ11" s="23">
        <f>F11/AI11</f>
        <v>6</v>
      </c>
      <c r="AK11" s="23">
        <f>AF11/AJ11</f>
        <v>184.32</v>
      </c>
      <c r="AL11" s="23" t="e">
        <f>AG11/AJ11</f>
        <v>#REF!</v>
      </c>
      <c r="AM11" s="23">
        <f>AH11/AJ11</f>
        <v>0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1949.88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221.09</v>
      </c>
      <c r="S12" s="7">
        <f t="shared" si="0"/>
        <v>1728.79</v>
      </c>
      <c r="T12" s="7"/>
      <c r="U12" s="7"/>
      <c r="V12" s="48">
        <f t="shared" si="0"/>
        <v>65.02</v>
      </c>
      <c r="W12" s="48">
        <f t="shared" si="0"/>
        <v>65.02</v>
      </c>
      <c r="X12" s="48">
        <f t="shared" si="0"/>
        <v>0</v>
      </c>
      <c r="Y12" s="7">
        <f t="shared" si="0"/>
        <v>130.04</v>
      </c>
      <c r="Z12" s="18">
        <f t="shared" si="0"/>
        <v>1858.83</v>
      </c>
      <c r="AA12" s="69">
        <f t="shared" si="0"/>
        <v>320</v>
      </c>
      <c r="AB12" s="69" t="e">
        <f t="shared" si="0"/>
        <v>#REF!</v>
      </c>
      <c r="AC12" s="18"/>
      <c r="AD12" s="69" t="e">
        <f t="shared" ref="AD12:AH12" si="1">SUM(AD10:AD11)</f>
        <v>#REF!</v>
      </c>
      <c r="AE12" s="69" t="e">
        <f t="shared" si="1"/>
        <v>#REF!</v>
      </c>
      <c r="AF12" s="69">
        <f t="shared" si="1"/>
        <v>1728.79</v>
      </c>
      <c r="AG12" s="69" t="e">
        <f t="shared" si="1"/>
        <v>#REF!</v>
      </c>
      <c r="AH12" s="69">
        <f t="shared" si="1"/>
        <v>0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16"/>
  <sheetViews>
    <sheetView showGridLines="0" workbookViewId="0">
      <selection activeCell="B10" sqref="B10:G10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5</v>
      </c>
      <c r="V4" s="23">
        <f>IF($C$2=1,ROUND(((S4*(U4/100))/2),2),0)</f>
        <v>15.57</v>
      </c>
      <c r="W4" s="23">
        <f>IF($C$2=1,ROUND(((S4*(U4/100))/2),2),0)</f>
        <v>15.57</v>
      </c>
      <c r="X4" s="23">
        <f>IF($C$2=2,ROUND(((S4*U4)),2),0)</f>
        <v>0</v>
      </c>
      <c r="Y4" s="23">
        <f>V4+W4+X4</f>
        <v>31.14</v>
      </c>
      <c r="Z4" s="23">
        <f>S4+Y4</f>
        <v>654.01</v>
      </c>
      <c r="AA4" s="23">
        <v>120</v>
      </c>
      <c r="AB4" s="23" t="e">
        <f>IF($P$2=1,(S4/$S$5)*#REF!,AA4/$AA$5*#REF!)</f>
        <v>#REF!</v>
      </c>
      <c r="AC4" s="23"/>
      <c r="AD4" s="23" t="e">
        <f>IF($P$2=1,(S4/$S$5)*#REF!,AA4/$AA$5*#REF!)</f>
        <v>#REF!</v>
      </c>
      <c r="AE4" s="23" t="e">
        <f>IF($P$2=1,(S4/$S$5)*#REF!,AA4/$AA$5*#REF!)</f>
        <v>#REF!</v>
      </c>
      <c r="AF4" s="23">
        <f>S4*$M$2</f>
        <v>622.87</v>
      </c>
      <c r="AG4" s="23" t="e">
        <f>IF($C$2=3,0,AD4+AE4)</f>
        <v>#REF!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#REF!</v>
      </c>
      <c r="AM4" s="23">
        <f>AH4/AJ4</f>
        <v>0</v>
      </c>
      <c r="AN4" s="23" t="s">
        <v>12</v>
      </c>
      <c r="AO4" s="23" t="e">
        <f>AK4+AL4+AM4</f>
        <v>#REF!</v>
      </c>
    </row>
    <row r="5" spans="1:41">
      <c r="B5" s="81" t="s">
        <v>14</v>
      </c>
      <c r="C5" s="81"/>
      <c r="D5" s="81"/>
      <c r="E5" s="81"/>
      <c r="F5" s="81"/>
      <c r="G5" s="81"/>
      <c r="H5" s="74">
        <f>SUM(H4:H4)</f>
        <v>750</v>
      </c>
      <c r="I5" s="5"/>
      <c r="J5" s="5"/>
      <c r="K5" s="5"/>
      <c r="L5" s="5"/>
      <c r="M5" s="5"/>
      <c r="N5" s="5"/>
      <c r="O5" s="5"/>
      <c r="P5" s="5"/>
      <c r="Q5" s="5"/>
      <c r="R5" s="7">
        <f t="shared" ref="R5:AB5" si="0">SUM(R4:R4)</f>
        <v>127.13</v>
      </c>
      <c r="S5" s="7">
        <f t="shared" si="0"/>
        <v>622.87</v>
      </c>
      <c r="T5" s="7"/>
      <c r="U5" s="7"/>
      <c r="V5" s="48">
        <f t="shared" si="0"/>
        <v>15.57</v>
      </c>
      <c r="W5" s="48">
        <f t="shared" si="0"/>
        <v>15.57</v>
      </c>
      <c r="X5" s="48">
        <f t="shared" si="0"/>
        <v>0</v>
      </c>
      <c r="Y5" s="7">
        <f t="shared" si="0"/>
        <v>31.14</v>
      </c>
      <c r="Z5" s="18">
        <f t="shared" si="0"/>
        <v>654.01</v>
      </c>
      <c r="AA5" s="69">
        <f t="shared" si="0"/>
        <v>120</v>
      </c>
      <c r="AB5" s="69" t="e">
        <f t="shared" si="0"/>
        <v>#REF!</v>
      </c>
      <c r="AC5" s="18"/>
      <c r="AD5" s="69" t="e">
        <f>SUM(AD4:AD4)</f>
        <v>#REF!</v>
      </c>
      <c r="AE5" s="69" t="e">
        <f>SUM(AE4:AE4)</f>
        <v>#REF!</v>
      </c>
      <c r="AF5" s="69">
        <f>SUM(AF4:AF4)</f>
        <v>622.87</v>
      </c>
      <c r="AG5" s="69" t="e">
        <f>SUM(AG4:AG4)</f>
        <v>#REF!</v>
      </c>
      <c r="AH5" s="69">
        <f>SUM(AH4:AH4)</f>
        <v>0</v>
      </c>
      <c r="AI5" s="18"/>
      <c r="AJ5" s="18"/>
      <c r="AK5" s="18"/>
      <c r="AL5" s="18"/>
      <c r="AM5" s="18"/>
      <c r="AN5" s="18"/>
      <c r="AO5" s="18"/>
    </row>
    <row r="6" spans="1:41">
      <c r="A6" s="40" t="s">
        <v>65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42.75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">
      <c r="A9" s="5">
        <v>1</v>
      </c>
      <c r="B9" s="75" t="s">
        <v>13</v>
      </c>
      <c r="C9" s="5" t="s">
        <v>13</v>
      </c>
      <c r="D9" s="5" t="s">
        <v>12</v>
      </c>
      <c r="E9" s="5" t="s">
        <v>12</v>
      </c>
      <c r="F9" s="47">
        <v>6</v>
      </c>
      <c r="G9" s="23">
        <v>200</v>
      </c>
      <c r="H9" s="72">
        <f>F9*G9</f>
        <v>1200</v>
      </c>
      <c r="I9" s="72">
        <v>0</v>
      </c>
      <c r="J9" s="72">
        <v>0</v>
      </c>
      <c r="K9" s="72">
        <v>0</v>
      </c>
      <c r="L9" s="72">
        <f>H9</f>
        <v>1200</v>
      </c>
      <c r="M9" s="72">
        <f>ROUND((L9*I9)/100,2)</f>
        <v>0</v>
      </c>
      <c r="N9" s="72">
        <f>H9-M9</f>
        <v>1200</v>
      </c>
      <c r="O9" s="72">
        <f>ROUND((N9*J9)/100,2)</f>
        <v>0</v>
      </c>
      <c r="P9" s="72">
        <f>ROUND(N9-O9,2)</f>
        <v>1200</v>
      </c>
      <c r="Q9" s="72">
        <f>ROUND((P9*K9)/100,2)</f>
        <v>0</v>
      </c>
      <c r="R9" s="23">
        <f>M9+O9+Q9</f>
        <v>0</v>
      </c>
      <c r="S9" s="23">
        <f>(H9-R9)</f>
        <v>1200</v>
      </c>
      <c r="T9" s="23" t="s">
        <v>57</v>
      </c>
      <c r="U9" s="72">
        <v>5</v>
      </c>
      <c r="V9" s="23">
        <f>IF($C$2=1,ROUND(((S9*(U9/100))/2),2),0)</f>
        <v>30</v>
      </c>
      <c r="W9" s="23">
        <f>IF($C$2=1,ROUND(((S9*(U9/100))/2),2),0)</f>
        <v>30</v>
      </c>
      <c r="X9" s="23">
        <f>IF($C$2=2,ROUND(((S9*U9)),2),0)</f>
        <v>0</v>
      </c>
      <c r="Y9" s="23">
        <f>V9+W9+X9</f>
        <v>60</v>
      </c>
      <c r="Z9" s="23">
        <f>S9+Y9</f>
        <v>1260</v>
      </c>
      <c r="AA9" s="23">
        <v>200</v>
      </c>
      <c r="AB9" s="23" t="e">
        <f>IF($P$2=1,(S9/$S$5)*#REF!,AA9/$AA$5*#REF!)</f>
        <v>#REF!</v>
      </c>
      <c r="AC9" s="23"/>
      <c r="AD9" s="23" t="e">
        <f>IF($P$2=1,(S9/$S$5)*#REF!,AA9/$AA$5*#REF!)</f>
        <v>#REF!</v>
      </c>
      <c r="AE9" s="23" t="e">
        <f>IF($P$2=1,(S9/$S$5)*#REF!,AA9/$AA$5*#REF!)</f>
        <v>#REF!</v>
      </c>
      <c r="AF9" s="23">
        <f>S9*$M$2</f>
        <v>1200</v>
      </c>
      <c r="AG9" s="23" t="e">
        <f>IF($C$2=3,0,AD9+AE9)</f>
        <v>#REF!</v>
      </c>
      <c r="AH9" s="23">
        <f>IF($C$2=3,AB9+AD9+AE9,0)</f>
        <v>0</v>
      </c>
      <c r="AI9" s="47">
        <v>1</v>
      </c>
      <c r="AJ9" s="23">
        <f>F9/AI9</f>
        <v>6</v>
      </c>
      <c r="AK9" s="23">
        <f>AF9/AJ9</f>
        <v>200</v>
      </c>
      <c r="AL9" s="23" t="e">
        <f>AG9/AJ9</f>
        <v>#REF!</v>
      </c>
      <c r="AM9" s="23">
        <f>AH9/AJ9</f>
        <v>0</v>
      </c>
      <c r="AN9" s="23" t="s">
        <v>12</v>
      </c>
      <c r="AO9" s="23" t="e">
        <f>AK9+AL9+AM9</f>
        <v>#REF!</v>
      </c>
    </row>
    <row r="10" spans="1:41">
      <c r="B10" s="81" t="s">
        <v>14</v>
      </c>
      <c r="C10" s="81"/>
      <c r="D10" s="81"/>
      <c r="E10" s="81"/>
      <c r="F10" s="81"/>
      <c r="G10" s="81"/>
      <c r="H10" s="74">
        <f>SUM(H9:H9)</f>
        <v>1200</v>
      </c>
      <c r="I10" s="5"/>
      <c r="J10" s="5"/>
      <c r="K10" s="5"/>
      <c r="L10" s="5"/>
      <c r="M10" s="5"/>
      <c r="N10" s="5"/>
      <c r="O10" s="5"/>
      <c r="P10" s="5"/>
      <c r="Q10" s="5"/>
      <c r="R10" s="7">
        <f t="shared" ref="R10:AB10" si="1">SUM(R9:R9)</f>
        <v>0</v>
      </c>
      <c r="S10" s="7">
        <f t="shared" si="1"/>
        <v>1200</v>
      </c>
      <c r="T10" s="7"/>
      <c r="U10" s="7"/>
      <c r="V10" s="48">
        <f t="shared" si="1"/>
        <v>30</v>
      </c>
      <c r="W10" s="48">
        <f t="shared" si="1"/>
        <v>30</v>
      </c>
      <c r="X10" s="48">
        <f t="shared" si="1"/>
        <v>0</v>
      </c>
      <c r="Y10" s="7">
        <f t="shared" si="1"/>
        <v>60</v>
      </c>
      <c r="Z10" s="18">
        <f t="shared" si="1"/>
        <v>1260</v>
      </c>
      <c r="AA10" s="69">
        <f t="shared" si="1"/>
        <v>200</v>
      </c>
      <c r="AB10" s="69" t="e">
        <f t="shared" si="1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1200</v>
      </c>
      <c r="AG10" s="69" t="e">
        <f>SUM(AG9:AG9)</f>
        <v>#REF!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66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2.75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">
      <c r="A14" s="5">
        <v>1</v>
      </c>
      <c r="B14" s="75" t="s">
        <v>10</v>
      </c>
      <c r="C14" s="5" t="s">
        <v>11</v>
      </c>
      <c r="D14" s="5" t="s">
        <v>12</v>
      </c>
      <c r="E14" s="5" t="s">
        <v>12</v>
      </c>
      <c r="F14" s="47">
        <v>5</v>
      </c>
      <c r="G14" s="23">
        <v>150</v>
      </c>
      <c r="H14" s="72">
        <f>F14*G14</f>
        <v>750</v>
      </c>
      <c r="I14" s="72">
        <v>5</v>
      </c>
      <c r="J14" s="72">
        <v>6</v>
      </c>
      <c r="K14" s="72">
        <v>7</v>
      </c>
      <c r="L14" s="72">
        <f>H14</f>
        <v>750</v>
      </c>
      <c r="M14" s="72">
        <f>ROUND((L14*I14)/100,2)</f>
        <v>37.5</v>
      </c>
      <c r="N14" s="72">
        <f>H14-M14</f>
        <v>712.5</v>
      </c>
      <c r="O14" s="72">
        <f>ROUND((N14*J14)/100,2)</f>
        <v>42.75</v>
      </c>
      <c r="P14" s="72">
        <f>ROUND(N14-O14,2)</f>
        <v>669.75</v>
      </c>
      <c r="Q14" s="72">
        <f>ROUND((P14*K14)/100,2)</f>
        <v>46.88</v>
      </c>
      <c r="R14" s="23">
        <f>M14+O14+Q14</f>
        <v>127.13</v>
      </c>
      <c r="S14" s="72">
        <f>(H14-R14)</f>
        <v>622.87</v>
      </c>
      <c r="T14" s="23" t="s">
        <v>57</v>
      </c>
      <c r="U14" s="72">
        <v>5</v>
      </c>
      <c r="V14" s="72">
        <f>IF($C$2=1,ROUND(((S14*(U14/100))/2),2),0)</f>
        <v>15.57</v>
      </c>
      <c r="W14" s="23">
        <f>IF($C$2=1,ROUND(((S14*(U14/100))/2),2),0)</f>
        <v>15.57</v>
      </c>
      <c r="X14" s="23">
        <f>IF($C$2=2,ROUND(((S14*U14)),2),0)</f>
        <v>0</v>
      </c>
      <c r="Y14" s="23">
        <f>V14+W14+X14</f>
        <v>31.14</v>
      </c>
      <c r="Z14" s="23">
        <f>S14+Y14</f>
        <v>654.01</v>
      </c>
      <c r="AA14" s="23">
        <v>120</v>
      </c>
      <c r="AB14" s="23" t="e">
        <f>IF($P$2=1,(S14/$S$5)*#REF!,AA14/$AA$5*#REF!)</f>
        <v>#REF!</v>
      </c>
      <c r="AC14" s="23"/>
      <c r="AD14" s="23" t="e">
        <f>IF($P$2=1,(S14/$S$5)*#REF!,AA14/$AA$5*#REF!)</f>
        <v>#REF!</v>
      </c>
      <c r="AE14" s="23" t="e">
        <f>IF($P$2=1,(S14/$S$5)*#REF!,AA14/$AA$5*#REF!)</f>
        <v>#REF!</v>
      </c>
      <c r="AF14" s="23">
        <f>S14*$M$2</f>
        <v>622.87</v>
      </c>
      <c r="AG14" s="23" t="e">
        <f>IF($C$2=3,0,AD14+AE14)</f>
        <v>#REF!</v>
      </c>
      <c r="AH14" s="23">
        <f>IF($C$2=3,AB14+AD14+AE14,0)</f>
        <v>0</v>
      </c>
      <c r="AI14" s="47">
        <v>1</v>
      </c>
      <c r="AJ14" s="23">
        <f>F14/AI14</f>
        <v>5</v>
      </c>
      <c r="AK14" s="23">
        <f>AF14/AJ14</f>
        <v>124.574</v>
      </c>
      <c r="AL14" s="23" t="e">
        <f>AG14/AJ14</f>
        <v>#REF!</v>
      </c>
      <c r="AM14" s="23">
        <f>AH14/AJ14</f>
        <v>0</v>
      </c>
      <c r="AN14" s="23" t="s">
        <v>12</v>
      </c>
      <c r="AO14" s="23" t="e">
        <f>AK14+AL14+AM14</f>
        <v>#REF!</v>
      </c>
    </row>
    <row r="15" spans="1:41" ht="15">
      <c r="A15" s="5">
        <v>2</v>
      </c>
      <c r="B15" s="75" t="s">
        <v>13</v>
      </c>
      <c r="C15" s="5" t="s">
        <v>13</v>
      </c>
      <c r="D15" s="5" t="s">
        <v>12</v>
      </c>
      <c r="E15" s="5" t="s">
        <v>12</v>
      </c>
      <c r="F15" s="47">
        <v>6</v>
      </c>
      <c r="G15" s="23">
        <v>200</v>
      </c>
      <c r="H15" s="72">
        <f>F15*G15</f>
        <v>1200</v>
      </c>
      <c r="I15" s="72">
        <v>0</v>
      </c>
      <c r="J15" s="72">
        <v>0</v>
      </c>
      <c r="K15" s="72">
        <v>0</v>
      </c>
      <c r="L15" s="72">
        <f>H15</f>
        <v>1200</v>
      </c>
      <c r="M15" s="72">
        <f>ROUND((L15*I15)/100,2)</f>
        <v>0</v>
      </c>
      <c r="N15" s="72">
        <f>H15-M15</f>
        <v>1200</v>
      </c>
      <c r="O15" s="72">
        <f>ROUND((N15*J15)/100,2)</f>
        <v>0</v>
      </c>
      <c r="P15" s="72">
        <f>ROUND(N15-O15,2)</f>
        <v>1200</v>
      </c>
      <c r="Q15" s="72">
        <f>ROUND((P15*K15)/100,2)</f>
        <v>0</v>
      </c>
      <c r="R15" s="23">
        <f>M15+O15+Q15</f>
        <v>0</v>
      </c>
      <c r="S15" s="72">
        <f>(H15-R15)</f>
        <v>1200</v>
      </c>
      <c r="T15" s="23" t="s">
        <v>57</v>
      </c>
      <c r="U15" s="72">
        <v>5</v>
      </c>
      <c r="V15" s="72">
        <f>IF($C$2=1,ROUND(((S15*(U15/100))/2),2),0)</f>
        <v>30</v>
      </c>
      <c r="W15" s="23">
        <f>IF($C$2=1,ROUND(((S15*(U15/100))/2),2),0)</f>
        <v>30</v>
      </c>
      <c r="X15" s="23">
        <f>IF($C$2=2,ROUND(((S15*U15)),2),0)</f>
        <v>0</v>
      </c>
      <c r="Y15" s="23">
        <f>V15+W15+X15</f>
        <v>60</v>
      </c>
      <c r="Z15" s="23">
        <f>S15+Y15</f>
        <v>1260</v>
      </c>
      <c r="AA15" s="23">
        <v>200</v>
      </c>
      <c r="AB15" s="23" t="e">
        <f>IF($P$2=1,(S15/$S$5)*#REF!,AA15/$AA$5*#REF!)</f>
        <v>#REF!</v>
      </c>
      <c r="AC15" s="23"/>
      <c r="AD15" s="23" t="e">
        <f>IF($P$2=1,(S15/$S$5)*#REF!,AA15/$AA$5*#REF!)</f>
        <v>#REF!</v>
      </c>
      <c r="AE15" s="23" t="e">
        <f>IF($P$2=1,(S15/$S$5)*#REF!,AA15/$AA$5*#REF!)</f>
        <v>#REF!</v>
      </c>
      <c r="AF15" s="23">
        <f>S15*$M$2</f>
        <v>1200</v>
      </c>
      <c r="AG15" s="23" t="e">
        <f>IF($C$2=3,0,AD15+AE15)</f>
        <v>#REF!</v>
      </c>
      <c r="AH15" s="23">
        <f>IF($C$2=3,AB15+AD15+AE15,0)</f>
        <v>0</v>
      </c>
      <c r="AI15" s="47">
        <v>1</v>
      </c>
      <c r="AJ15" s="23">
        <f>F15/AI15</f>
        <v>6</v>
      </c>
      <c r="AK15" s="23">
        <f>AF15/AJ15</f>
        <v>200</v>
      </c>
      <c r="AL15" s="23" t="e">
        <f>AG15/AJ15</f>
        <v>#REF!</v>
      </c>
      <c r="AM15" s="23">
        <f>AH15/AJ15</f>
        <v>0</v>
      </c>
      <c r="AN15" s="23" t="s">
        <v>12</v>
      </c>
      <c r="AO15" s="23" t="e">
        <f>AK15+AL15+AM15</f>
        <v>#REF!</v>
      </c>
    </row>
    <row r="16" spans="1:41">
      <c r="B16" s="81" t="s">
        <v>14</v>
      </c>
      <c r="C16" s="81"/>
      <c r="D16" s="81"/>
      <c r="E16" s="81"/>
      <c r="F16" s="81"/>
      <c r="G16" s="81"/>
      <c r="H16" s="74">
        <f>SUM(H14:H15)</f>
        <v>1950</v>
      </c>
      <c r="I16" s="5"/>
      <c r="J16" s="5"/>
      <c r="K16" s="5"/>
      <c r="L16" s="5"/>
      <c r="M16" s="5"/>
      <c r="N16" s="5"/>
      <c r="O16" s="5"/>
      <c r="P16" s="5"/>
      <c r="Q16" s="72">
        <f>ROUND((P16*K16)/100,2)</f>
        <v>0</v>
      </c>
      <c r="R16" s="7">
        <f t="shared" ref="R16:AB16" si="2">SUM(R14:R15)</f>
        <v>127.13</v>
      </c>
      <c r="S16" s="7">
        <f t="shared" si="2"/>
        <v>1822.87</v>
      </c>
      <c r="T16" s="7"/>
      <c r="U16" s="7"/>
      <c r="V16" s="48">
        <f t="shared" si="2"/>
        <v>45.57</v>
      </c>
      <c r="W16" s="48">
        <f t="shared" si="2"/>
        <v>45.57</v>
      </c>
      <c r="X16" s="48">
        <f t="shared" si="2"/>
        <v>0</v>
      </c>
      <c r="Y16" s="7">
        <f t="shared" si="2"/>
        <v>91.14</v>
      </c>
      <c r="Z16" s="18">
        <f t="shared" si="2"/>
        <v>1914.01</v>
      </c>
      <c r="AA16" s="69">
        <f t="shared" si="2"/>
        <v>320</v>
      </c>
      <c r="AB16" s="69" t="e">
        <f t="shared" si="2"/>
        <v>#REF!</v>
      </c>
      <c r="AC16" s="18"/>
      <c r="AD16" s="69" t="e">
        <f t="shared" ref="AD16:AH16" si="3">SUM(AD14:AD15)</f>
        <v>#REF!</v>
      </c>
      <c r="AE16" s="69" t="e">
        <f t="shared" si="3"/>
        <v>#REF!</v>
      </c>
      <c r="AF16" s="69">
        <f t="shared" si="3"/>
        <v>1822.87</v>
      </c>
      <c r="AG16" s="69" t="e">
        <f t="shared" si="3"/>
        <v>#REF!</v>
      </c>
      <c r="AH16" s="69">
        <f t="shared" si="3"/>
        <v>0</v>
      </c>
      <c r="AI16" s="18"/>
      <c r="AJ16" s="18"/>
      <c r="AK16" s="18"/>
      <c r="AL16" s="18"/>
      <c r="AM16" s="18"/>
      <c r="AN16" s="18"/>
      <c r="AO16" s="18"/>
    </row>
  </sheetData>
  <mergeCells count="6">
    <mergeCell ref="B16:G16"/>
    <mergeCell ref="A2:B2"/>
    <mergeCell ref="B5:G5"/>
    <mergeCell ref="A7:B7"/>
    <mergeCell ref="B10:G10"/>
    <mergeCell ref="A12:B1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16"/>
  <sheetViews>
    <sheetView showGridLines="0" topLeftCell="AC1" workbookViewId="0">
      <selection activeCell="A14" sqref="A14:AO15"/>
    </sheetView>
  </sheetViews>
  <sheetFormatPr defaultColWidth="9.140625" defaultRowHeight="14.25"/>
  <cols>
    <col min="1" max="1" width="8" style="2" customWidth="1"/>
    <col min="2" max="2" width="21" style="2" customWidth="1"/>
    <col min="3" max="3" width="29.8554687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3.5" thickBot="1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 thickBot="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18</v>
      </c>
      <c r="V4" s="72">
        <f>IF($C$2=1,ROUND(((S4*(U4/100))/2),2),0)</f>
        <v>56.06</v>
      </c>
      <c r="W4" s="72">
        <f>IF($C$2=1,ROUND(((S4*(U4/100))/2),2),0)</f>
        <v>56.06</v>
      </c>
      <c r="X4" s="72">
        <f>IF($C$2=2,ROUND(((S4*U4)),2),0)</f>
        <v>0</v>
      </c>
      <c r="Y4" s="72">
        <f>V4+W4+X4</f>
        <v>112.12</v>
      </c>
      <c r="Z4" s="23">
        <f>S4+Y4</f>
        <v>734.99</v>
      </c>
      <c r="AA4" s="23">
        <v>120</v>
      </c>
      <c r="AB4" s="23" t="e">
        <f>IF($P$2=1,(S4/$S$6)*#REF!,AA4/$AA$6*#REF!)</f>
        <v>#DIV/0!</v>
      </c>
      <c r="AC4" s="23"/>
      <c r="AD4" s="23" t="e">
        <f>IF($P$2=1,(S4/$S$6)*#REF!,AA4/$AA$6*#REF!)</f>
        <v>#DIV/0!</v>
      </c>
      <c r="AE4" s="23" t="e">
        <f>IF($P$2=1,(S4/$S$6)*#REF!,AA4/$AA$6*#REF!)</f>
        <v>#DIV/0!</v>
      </c>
      <c r="AF4" s="23">
        <f>S4*$M$2</f>
        <v>622.87</v>
      </c>
      <c r="AG4" s="23" t="e">
        <f>IF($C$2=3,0,AD4+AE4)</f>
        <v>#DIV/0!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#DIV/0!</v>
      </c>
      <c r="AM4" s="23">
        <f>AH4/AJ4</f>
        <v>0</v>
      </c>
      <c r="AN4" s="23" t="s">
        <v>12</v>
      </c>
      <c r="AO4" s="23" t="e">
        <f>AK4+AL4+AM4</f>
        <v>#DIV/0!</v>
      </c>
    </row>
    <row r="5" spans="1:41" ht="15" thickBot="1">
      <c r="B5" s="81" t="s">
        <v>14</v>
      </c>
      <c r="C5" s="81"/>
      <c r="D5" s="81"/>
      <c r="E5" s="81"/>
      <c r="F5" s="81"/>
      <c r="G5" s="81"/>
      <c r="H5" s="74">
        <f>SUM(H4:H4)</f>
        <v>750</v>
      </c>
      <c r="I5" s="5"/>
      <c r="J5" s="5"/>
      <c r="K5" s="5"/>
      <c r="L5" s="5"/>
      <c r="M5" s="5"/>
      <c r="N5" s="5"/>
      <c r="O5" s="5"/>
      <c r="P5" s="5"/>
      <c r="Q5" s="5"/>
      <c r="R5" s="7">
        <f t="shared" ref="R5:AB5" si="0">SUM(R4:R4)</f>
        <v>127.13</v>
      </c>
      <c r="S5" s="7">
        <f t="shared" si="0"/>
        <v>622.87</v>
      </c>
      <c r="T5" s="7"/>
      <c r="U5" s="7"/>
      <c r="V5" s="48">
        <f t="shared" si="0"/>
        <v>56.06</v>
      </c>
      <c r="W5" s="48">
        <f t="shared" si="0"/>
        <v>56.06</v>
      </c>
      <c r="X5" s="48">
        <f t="shared" si="0"/>
        <v>0</v>
      </c>
      <c r="Y5" s="7">
        <f t="shared" si="0"/>
        <v>112.12</v>
      </c>
      <c r="Z5" s="18">
        <f t="shared" si="0"/>
        <v>734.99</v>
      </c>
      <c r="AA5" s="69">
        <f t="shared" si="0"/>
        <v>120</v>
      </c>
      <c r="AB5" s="69" t="e">
        <f t="shared" si="0"/>
        <v>#DIV/0!</v>
      </c>
      <c r="AC5" s="18"/>
      <c r="AD5" s="69" t="e">
        <f>SUM(AD4:AD4)</f>
        <v>#DIV/0!</v>
      </c>
      <c r="AE5" s="69" t="e">
        <f>SUM(AE4:AE4)</f>
        <v>#DIV/0!</v>
      </c>
      <c r="AF5" s="69">
        <f>SUM(AF4:AF4)</f>
        <v>622.87</v>
      </c>
      <c r="AG5" s="69" t="e">
        <f>SUM(AG4:AG4)</f>
        <v>#DIV/0!</v>
      </c>
      <c r="AH5" s="69">
        <f>SUM(AH4:AH4)</f>
        <v>0</v>
      </c>
      <c r="AI5" s="18"/>
      <c r="AJ5" s="18"/>
      <c r="AK5" s="18"/>
      <c r="AL5" s="18"/>
      <c r="AM5" s="18"/>
      <c r="AN5" s="18"/>
      <c r="AO5" s="18"/>
    </row>
    <row r="6" spans="1:41">
      <c r="A6" s="40" t="s">
        <v>65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2</v>
      </c>
      <c r="B9" s="73" t="s">
        <v>64</v>
      </c>
      <c r="C9" s="73" t="s">
        <v>64</v>
      </c>
      <c r="D9" s="5" t="s">
        <v>12</v>
      </c>
      <c r="E9" s="5" t="s">
        <v>12</v>
      </c>
      <c r="F9" s="47">
        <v>6</v>
      </c>
      <c r="G9" s="23">
        <v>200</v>
      </c>
      <c r="H9" s="72">
        <f>F9*G9</f>
        <v>1200</v>
      </c>
      <c r="I9" s="72">
        <v>0</v>
      </c>
      <c r="J9" s="72">
        <v>0</v>
      </c>
      <c r="K9" s="72">
        <v>0</v>
      </c>
      <c r="L9" s="72">
        <f>H9</f>
        <v>1200</v>
      </c>
      <c r="M9" s="72">
        <f>ROUND((L9*I9)/100,2)</f>
        <v>0</v>
      </c>
      <c r="N9" s="72">
        <f>H9-M9</f>
        <v>1200</v>
      </c>
      <c r="O9" s="72">
        <f>ROUND((N9*J9)/100,2)</f>
        <v>0</v>
      </c>
      <c r="P9" s="72">
        <f>ROUND(N9-O9,2)</f>
        <v>1200</v>
      </c>
      <c r="Q9" s="72">
        <f>ROUND((P9*K9)/100,2)</f>
        <v>0</v>
      </c>
      <c r="R9" s="23">
        <f>M9+O9+Q9</f>
        <v>0</v>
      </c>
      <c r="S9" s="23">
        <f>(H9-R9)</f>
        <v>1200</v>
      </c>
      <c r="T9" s="23" t="s">
        <v>57</v>
      </c>
      <c r="U9" s="72">
        <v>5</v>
      </c>
      <c r="V9" s="72">
        <f>IF($C$2=1,ROUND(((S9*(U9/100))/2),2),0)</f>
        <v>30</v>
      </c>
      <c r="W9" s="72">
        <f>IF($C$2=1,ROUND(((S9*(U9/100))/2),2),0)</f>
        <v>30</v>
      </c>
      <c r="X9" s="72">
        <f>IF($C$2=2,ROUND(((S9*U9)),2),0)</f>
        <v>0</v>
      </c>
      <c r="Y9" s="72">
        <f>V9+W9+X9</f>
        <v>60</v>
      </c>
      <c r="Z9" s="23">
        <f>S9+Y9</f>
        <v>1260</v>
      </c>
      <c r="AA9" s="23">
        <v>200</v>
      </c>
      <c r="AB9" s="23" t="e">
        <f>IF($P$2=1,(S9/$S$6)*#REF!,AA9/$AA$6*#REF!)</f>
        <v>#DIV/0!</v>
      </c>
      <c r="AC9" s="23"/>
      <c r="AD9" s="23" t="e">
        <f>IF($P$2=1,(S9/$S$6)*#REF!,AA9/$AA$6*#REF!)</f>
        <v>#DIV/0!</v>
      </c>
      <c r="AE9" s="23" t="e">
        <f>IF($P$2=1,(S9/$S$6)*#REF!,AA9/$AA$6*#REF!)</f>
        <v>#DIV/0!</v>
      </c>
      <c r="AF9" s="23">
        <f>S9*$M$2</f>
        <v>1200</v>
      </c>
      <c r="AG9" s="23" t="e">
        <f>IF($C$2=3,0,AD9+AE9)</f>
        <v>#DIV/0!</v>
      </c>
      <c r="AH9" s="23">
        <f>IF($C$2=3,AB9+AD9+AE9,0)</f>
        <v>0</v>
      </c>
      <c r="AI9" s="47">
        <v>1</v>
      </c>
      <c r="AJ9" s="23">
        <f>F9/AI9</f>
        <v>6</v>
      </c>
      <c r="AK9" s="23">
        <f>AF9/AJ9</f>
        <v>200</v>
      </c>
      <c r="AL9" s="23" t="e">
        <f>AG9/AJ9</f>
        <v>#DIV/0!</v>
      </c>
      <c r="AM9" s="23">
        <f>AH9/AJ9</f>
        <v>0</v>
      </c>
      <c r="AN9" s="23" t="s">
        <v>12</v>
      </c>
      <c r="AO9" s="23" t="e">
        <f>AK9+AL9+AM9</f>
        <v>#DIV/0!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1200</v>
      </c>
      <c r="I10" s="5"/>
      <c r="J10" s="5"/>
      <c r="K10" s="5"/>
      <c r="L10" s="5"/>
      <c r="M10" s="5"/>
      <c r="N10" s="5"/>
      <c r="O10" s="5"/>
      <c r="P10" s="5"/>
      <c r="Q10" s="5"/>
      <c r="R10" s="7">
        <f t="shared" ref="R10:AB10" si="1">SUM(R9:R9)</f>
        <v>0</v>
      </c>
      <c r="S10" s="7">
        <f t="shared" si="1"/>
        <v>1200</v>
      </c>
      <c r="T10" s="7"/>
      <c r="U10" s="7"/>
      <c r="V10" s="48">
        <f t="shared" si="1"/>
        <v>30</v>
      </c>
      <c r="W10" s="48">
        <f t="shared" si="1"/>
        <v>30</v>
      </c>
      <c r="X10" s="48">
        <f t="shared" si="1"/>
        <v>0</v>
      </c>
      <c r="Y10" s="7">
        <f t="shared" si="1"/>
        <v>60</v>
      </c>
      <c r="Z10" s="18">
        <f t="shared" si="1"/>
        <v>1260</v>
      </c>
      <c r="AA10" s="69">
        <f t="shared" si="1"/>
        <v>200</v>
      </c>
      <c r="AB10" s="69" t="e">
        <f t="shared" si="1"/>
        <v>#DIV/0!</v>
      </c>
      <c r="AC10" s="18"/>
      <c r="AD10" s="69" t="e">
        <f>SUM(AD9:AD9)</f>
        <v>#DIV/0!</v>
      </c>
      <c r="AE10" s="69" t="e">
        <f>SUM(AE9:AE9)</f>
        <v>#DIV/0!</v>
      </c>
      <c r="AF10" s="69">
        <f>SUM(AF9:AF9)</f>
        <v>1200</v>
      </c>
      <c r="AG10" s="69" t="e">
        <f>SUM(AG9:AG9)</f>
        <v>#DIV/0!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66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" thickBot="1">
      <c r="A14" s="5">
        <v>1</v>
      </c>
      <c r="B14" s="71" t="s">
        <v>62</v>
      </c>
      <c r="C14" s="71" t="s">
        <v>63</v>
      </c>
      <c r="D14" s="5" t="s">
        <v>12</v>
      </c>
      <c r="E14" s="5" t="s">
        <v>12</v>
      </c>
      <c r="F14" s="47">
        <v>5</v>
      </c>
      <c r="G14" s="23">
        <v>150</v>
      </c>
      <c r="H14" s="72">
        <f>F14*G14</f>
        <v>750</v>
      </c>
      <c r="I14" s="72">
        <v>5</v>
      </c>
      <c r="J14" s="72">
        <v>6</v>
      </c>
      <c r="K14" s="72">
        <v>7</v>
      </c>
      <c r="L14" s="72">
        <f>H14</f>
        <v>750</v>
      </c>
      <c r="M14" s="72">
        <f>ROUND((L14*I14)/100,2)</f>
        <v>37.5</v>
      </c>
      <c r="N14" s="72">
        <f>H14-M14</f>
        <v>712.5</v>
      </c>
      <c r="O14" s="72">
        <f>ROUND((N14*J14)/100,2)</f>
        <v>42.75</v>
      </c>
      <c r="P14" s="72">
        <f>ROUND(N14-O14,2)</f>
        <v>669.75</v>
      </c>
      <c r="Q14" s="72">
        <f>ROUND((P14*K14)/100,2)</f>
        <v>46.88</v>
      </c>
      <c r="R14" s="23">
        <f>M14+O14+Q14</f>
        <v>127.13</v>
      </c>
      <c r="S14" s="72">
        <f>(H14-R14)</f>
        <v>622.87</v>
      </c>
      <c r="T14" s="23" t="s">
        <v>57</v>
      </c>
      <c r="U14" s="72">
        <v>18</v>
      </c>
      <c r="V14" s="72">
        <f>IF($C$2=1,ROUND(((S14*(U14/100))/2),2),0)</f>
        <v>56.06</v>
      </c>
      <c r="W14" s="23">
        <f>IF($C$2=1,ROUND(((S14*(U14/100))/2),2),0)</f>
        <v>56.06</v>
      </c>
      <c r="X14" s="23">
        <f>IF($C$2=2,ROUND(((S14*U14)),2),0)</f>
        <v>0</v>
      </c>
      <c r="Y14" s="23">
        <f>V14+W14+X14</f>
        <v>112.12</v>
      </c>
      <c r="Z14" s="23">
        <f>S14+Y14</f>
        <v>734.99</v>
      </c>
      <c r="AA14" s="23">
        <v>120</v>
      </c>
      <c r="AB14" s="23" t="e">
        <f>IF($P$2=1,(S14/$S$5)*#REF!,AA14/$AA$5*#REF!)</f>
        <v>#REF!</v>
      </c>
      <c r="AC14" s="23"/>
      <c r="AD14" s="23" t="e">
        <f>IF($P$2=1,(S14/$S$5)*#REF!,AA14/$AA$5*#REF!)</f>
        <v>#REF!</v>
      </c>
      <c r="AE14" s="23" t="e">
        <f>IF($P$2=1,(S14/$S$5)*#REF!,AA14/$AA$5*#REF!)</f>
        <v>#REF!</v>
      </c>
      <c r="AF14" s="23">
        <f>S14*$M$2</f>
        <v>622.87</v>
      </c>
      <c r="AG14" s="23" t="e">
        <f>IF($C$2=3,0,AD14+AE14)</f>
        <v>#REF!</v>
      </c>
      <c r="AH14" s="23">
        <f>IF($C$2=3,AB14+AD14+AE14,0)</f>
        <v>0</v>
      </c>
      <c r="AI14" s="47">
        <v>1</v>
      </c>
      <c r="AJ14" s="23">
        <f>F14/AI14</f>
        <v>5</v>
      </c>
      <c r="AK14" s="23">
        <f>AF14/AJ14</f>
        <v>124.574</v>
      </c>
      <c r="AL14" s="23" t="e">
        <f>AG14/AJ14</f>
        <v>#REF!</v>
      </c>
      <c r="AM14" s="23">
        <f>AH14/AJ14</f>
        <v>0</v>
      </c>
      <c r="AN14" s="23" t="s">
        <v>12</v>
      </c>
      <c r="AO14" s="23" t="e">
        <f>AK14+AL14+AM14</f>
        <v>#REF!</v>
      </c>
    </row>
    <row r="15" spans="1:41" ht="15.75" thickBot="1">
      <c r="A15" s="5">
        <v>2</v>
      </c>
      <c r="B15" s="73" t="s">
        <v>64</v>
      </c>
      <c r="C15" s="73" t="s">
        <v>64</v>
      </c>
      <c r="D15" s="5" t="s">
        <v>12</v>
      </c>
      <c r="E15" s="5" t="s">
        <v>12</v>
      </c>
      <c r="F15" s="47">
        <v>6</v>
      </c>
      <c r="G15" s="23">
        <v>200</v>
      </c>
      <c r="H15" s="72">
        <f>F15*G15</f>
        <v>1200</v>
      </c>
      <c r="I15" s="72">
        <v>0</v>
      </c>
      <c r="J15" s="72">
        <v>0</v>
      </c>
      <c r="K15" s="72">
        <v>0</v>
      </c>
      <c r="L15" s="72">
        <f>H15</f>
        <v>1200</v>
      </c>
      <c r="M15" s="72">
        <f>ROUND((L15*I15)/100,2)</f>
        <v>0</v>
      </c>
      <c r="N15" s="72">
        <f>H15-M15</f>
        <v>1200</v>
      </c>
      <c r="O15" s="72">
        <f>ROUND((N15*J15)/100,2)</f>
        <v>0</v>
      </c>
      <c r="P15" s="72">
        <f>ROUND(N15-O15,2)</f>
        <v>1200</v>
      </c>
      <c r="Q15" s="72">
        <f>ROUND((P15*K15)/100,2)</f>
        <v>0</v>
      </c>
      <c r="R15" s="23">
        <f>M15+O15+Q15</f>
        <v>0</v>
      </c>
      <c r="S15" s="72">
        <f>(H15-R15)</f>
        <v>1200</v>
      </c>
      <c r="T15" s="23" t="s">
        <v>57</v>
      </c>
      <c r="U15" s="72">
        <v>5</v>
      </c>
      <c r="V15" s="72">
        <f>IF($C$2=1,ROUND(((S15*(U15/100))/2),2),0)</f>
        <v>30</v>
      </c>
      <c r="W15" s="23">
        <f>IF($C$2=1,ROUND(((S15*(U15/100))/2),2),0)</f>
        <v>30</v>
      </c>
      <c r="X15" s="23">
        <f>IF($C$2=2,ROUND(((S15*U15)),2),0)</f>
        <v>0</v>
      </c>
      <c r="Y15" s="23">
        <f>V15+W15+X15</f>
        <v>60</v>
      </c>
      <c r="Z15" s="23">
        <f>S15+Y15</f>
        <v>1260</v>
      </c>
      <c r="AA15" s="23">
        <v>200</v>
      </c>
      <c r="AB15" s="23" t="e">
        <f>IF($P$2=1,(S15/$S$5)*#REF!,AA15/$AA$5*#REF!)</f>
        <v>#REF!</v>
      </c>
      <c r="AC15" s="23"/>
      <c r="AD15" s="23" t="e">
        <f>IF($P$2=1,(S15/$S$5)*#REF!,AA15/$AA$5*#REF!)</f>
        <v>#REF!</v>
      </c>
      <c r="AE15" s="23" t="e">
        <f>IF($P$2=1,(S15/$S$5)*#REF!,AA15/$AA$5*#REF!)</f>
        <v>#REF!</v>
      </c>
      <c r="AF15" s="23">
        <f>S15*$M$2</f>
        <v>1200</v>
      </c>
      <c r="AG15" s="23" t="e">
        <f>IF($C$2=3,0,AD15+AE15)</f>
        <v>#REF!</v>
      </c>
      <c r="AH15" s="23">
        <f>IF($C$2=3,AB15+AD15+AE15,0)</f>
        <v>0</v>
      </c>
      <c r="AI15" s="47">
        <v>1</v>
      </c>
      <c r="AJ15" s="23">
        <f>F15/AI15</f>
        <v>6</v>
      </c>
      <c r="AK15" s="23">
        <f>AF15/AJ15</f>
        <v>200</v>
      </c>
      <c r="AL15" s="23" t="e">
        <f>AG15/AJ15</f>
        <v>#REF!</v>
      </c>
      <c r="AM15" s="23">
        <f>AH15/AJ15</f>
        <v>0</v>
      </c>
      <c r="AN15" s="23" t="s">
        <v>12</v>
      </c>
      <c r="AO15" s="23" t="e">
        <f>AK15+AL15+AM15</f>
        <v>#REF!</v>
      </c>
    </row>
    <row r="16" spans="1:41" ht="15" thickBot="1">
      <c r="B16" s="81" t="s">
        <v>14</v>
      </c>
      <c r="C16" s="81"/>
      <c r="D16" s="81"/>
      <c r="E16" s="81"/>
      <c r="F16" s="81"/>
      <c r="G16" s="81"/>
      <c r="H16" s="74">
        <f>SUM(H14:H15)</f>
        <v>1950</v>
      </c>
      <c r="I16" s="5"/>
      <c r="J16" s="5"/>
      <c r="K16" s="5"/>
      <c r="L16" s="5"/>
      <c r="M16" s="5"/>
      <c r="N16" s="5"/>
      <c r="O16" s="5"/>
      <c r="P16" s="5"/>
      <c r="Q16" s="72">
        <f>ROUND((P16*K16)/100,2)</f>
        <v>0</v>
      </c>
      <c r="R16" s="7">
        <f t="shared" ref="R16:AB16" si="2">SUM(R14:R15)</f>
        <v>127.13</v>
      </c>
      <c r="S16" s="7">
        <f t="shared" si="2"/>
        <v>1822.87</v>
      </c>
      <c r="T16" s="7"/>
      <c r="U16" s="7"/>
      <c r="V16" s="48">
        <f t="shared" si="2"/>
        <v>86.06</v>
      </c>
      <c r="W16" s="48">
        <f t="shared" si="2"/>
        <v>86.06</v>
      </c>
      <c r="X16" s="48">
        <f t="shared" si="2"/>
        <v>0</v>
      </c>
      <c r="Y16" s="7">
        <f t="shared" si="2"/>
        <v>172.12</v>
      </c>
      <c r="Z16" s="18">
        <f t="shared" si="2"/>
        <v>1994.99</v>
      </c>
      <c r="AA16" s="69">
        <f t="shared" si="2"/>
        <v>320</v>
      </c>
      <c r="AB16" s="69" t="e">
        <f t="shared" si="2"/>
        <v>#REF!</v>
      </c>
      <c r="AC16" s="18"/>
      <c r="AD16" s="69" t="e">
        <f t="shared" ref="AD16:AH16" si="3">SUM(AD14:AD15)</f>
        <v>#REF!</v>
      </c>
      <c r="AE16" s="69" t="e">
        <f t="shared" si="3"/>
        <v>#REF!</v>
      </c>
      <c r="AF16" s="69">
        <f t="shared" si="3"/>
        <v>1822.87</v>
      </c>
      <c r="AG16" s="69" t="e">
        <f t="shared" si="3"/>
        <v>#REF!</v>
      </c>
      <c r="AH16" s="69">
        <f t="shared" si="3"/>
        <v>0</v>
      </c>
      <c r="AI16" s="18"/>
      <c r="AJ16" s="18"/>
      <c r="AK16" s="18"/>
      <c r="AL16" s="18"/>
      <c r="AM16" s="18"/>
      <c r="AN16" s="18"/>
      <c r="AO16" s="18"/>
    </row>
  </sheetData>
  <mergeCells count="6">
    <mergeCell ref="B16:G16"/>
    <mergeCell ref="A2:B2"/>
    <mergeCell ref="B5:G5"/>
    <mergeCell ref="A7:B7"/>
    <mergeCell ref="B10:G10"/>
    <mergeCell ref="A12:B1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AO21"/>
  <sheetViews>
    <sheetView showGridLines="0" topLeftCell="O7" workbookViewId="0">
      <selection activeCell="Y18" sqref="Y18"/>
    </sheetView>
  </sheetViews>
  <sheetFormatPr defaultColWidth="9.140625" defaultRowHeight="14.25"/>
  <cols>
    <col min="1" max="1" width="8" style="2" customWidth="1"/>
    <col min="2" max="2" width="20.5703125" style="2" bestFit="1" customWidth="1"/>
    <col min="3" max="3" width="29.8554687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 thickBot="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" thickBot="1">
      <c r="A9" s="5">
        <v>1</v>
      </c>
      <c r="B9" s="71" t="s">
        <v>62</v>
      </c>
      <c r="C9" s="71" t="s">
        <v>63</v>
      </c>
      <c r="D9" s="5" t="s">
        <v>12</v>
      </c>
      <c r="E9" s="5" t="s">
        <v>12</v>
      </c>
      <c r="F9" s="47">
        <v>5</v>
      </c>
      <c r="G9" s="23">
        <v>150</v>
      </c>
      <c r="H9" s="72">
        <f>F9*G9</f>
        <v>750</v>
      </c>
      <c r="I9" s="72">
        <v>0</v>
      </c>
      <c r="J9" s="72">
        <v>0</v>
      </c>
      <c r="K9" s="72">
        <v>0</v>
      </c>
      <c r="L9" s="72">
        <f>H9</f>
        <v>750</v>
      </c>
      <c r="M9" s="72">
        <f>ROUND((L9*I9)/100,2)</f>
        <v>0</v>
      </c>
      <c r="N9" s="72">
        <f>H9-M9</f>
        <v>750</v>
      </c>
      <c r="O9" s="72">
        <f>ROUND((N9*J9)/100,2)</f>
        <v>0</v>
      </c>
      <c r="P9" s="72">
        <f>ROUND(N9-O9,2)</f>
        <v>750</v>
      </c>
      <c r="Q9" s="72">
        <f>ROUND((P9*K9)/100,2)</f>
        <v>0</v>
      </c>
      <c r="R9" s="23">
        <f>M9+O9+Q9</f>
        <v>0</v>
      </c>
      <c r="S9" s="23">
        <f>(H9-R9)</f>
        <v>750</v>
      </c>
      <c r="T9" s="23" t="s">
        <v>57</v>
      </c>
      <c r="U9" s="72">
        <v>18</v>
      </c>
      <c r="V9" s="72">
        <f>IF($C$7=1,ROUND(((S9*(U9/100))/2),2),0)</f>
        <v>67.5</v>
      </c>
      <c r="W9" s="72">
        <f>IF($C$7=1,ROUND(((S9*(U9/100))/2),2),0)</f>
        <v>67.5</v>
      </c>
      <c r="X9" s="72">
        <f>IF($C$7=2,ROUND(((S9*U9)),2),0)</f>
        <v>0</v>
      </c>
      <c r="Y9" s="72">
        <f>V9+W9+X9</f>
        <v>135</v>
      </c>
      <c r="Z9" s="23">
        <f>S9+Y9</f>
        <v>885</v>
      </c>
      <c r="AA9" s="23">
        <v>120</v>
      </c>
      <c r="AB9" s="23" t="e">
        <f>IF($P$7=1,(S9/$S$10)*#REF!,AA9/$AA$10*#REF!)</f>
        <v>#REF!</v>
      </c>
      <c r="AC9" s="23"/>
      <c r="AD9" s="23" t="e">
        <f>IF($P$7=1,(S9/$S$10)*#REF!,AA9/$AA$10*#REF!)</f>
        <v>#REF!</v>
      </c>
      <c r="AE9" s="23" t="e">
        <f>IF($P$7=1,(S9/$S$10)*#REF!,AA9/$AA$10*#REF!)</f>
        <v>#REF!</v>
      </c>
      <c r="AF9" s="23">
        <f>S9*$M$7</f>
        <v>750</v>
      </c>
      <c r="AG9" s="23" t="e">
        <f>IF($C$7=3,0,AD9+AE9)</f>
        <v>#REF!</v>
      </c>
      <c r="AH9" s="23">
        <f>IF($C$7=3,AB9+AD9+AE9,0)</f>
        <v>0</v>
      </c>
      <c r="AI9" s="47">
        <v>1</v>
      </c>
      <c r="AJ9" s="23">
        <f>F9/AI9</f>
        <v>5</v>
      </c>
      <c r="AK9" s="23">
        <f>AF9/AJ9</f>
        <v>150</v>
      </c>
      <c r="AL9" s="23" t="e">
        <f>AG9/AJ9</f>
        <v>#REF!</v>
      </c>
      <c r="AM9" s="23">
        <f>AH9/AJ9</f>
        <v>0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0</v>
      </c>
      <c r="S10" s="7">
        <f>SUM(S9:S9)</f>
        <v>750</v>
      </c>
      <c r="T10" s="7"/>
      <c r="U10" s="7"/>
      <c r="V10" s="48">
        <f t="shared" ref="V10:AB10" si="0">SUM(V9:V9)</f>
        <v>67.5</v>
      </c>
      <c r="W10" s="48">
        <f t="shared" si="0"/>
        <v>67.5</v>
      </c>
      <c r="X10" s="48">
        <f t="shared" si="0"/>
        <v>0</v>
      </c>
      <c r="Y10" s="7">
        <f t="shared" si="0"/>
        <v>135</v>
      </c>
      <c r="Z10" s="18">
        <f t="shared" si="0"/>
        <v>885</v>
      </c>
      <c r="AA10" s="69">
        <f t="shared" si="0"/>
        <v>120</v>
      </c>
      <c r="AB10" s="69" t="e">
        <f t="shared" si="0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750</v>
      </c>
      <c r="AG10" s="69" t="e">
        <f>SUM(AG9:AG9)</f>
        <v>#REF!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1</v>
      </c>
      <c r="B14" s="73" t="s">
        <v>64</v>
      </c>
      <c r="C14" s="73" t="s">
        <v>64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23">
        <f>(H14-R14)</f>
        <v>1200</v>
      </c>
      <c r="T14" s="23" t="s">
        <v>57</v>
      </c>
      <c r="U14" s="72">
        <v>5</v>
      </c>
      <c r="V14" s="72">
        <f>IF($C$12=1,ROUND(((S14*(U14/100))/2),2),0)</f>
        <v>30</v>
      </c>
      <c r="W14" s="72">
        <f>IF($C$12=1,ROUND(((S14*(U14/100))/2),2),0)</f>
        <v>30</v>
      </c>
      <c r="X14" s="72">
        <f>IF($C$12=2,ROUND(((S14*U14)),2),0)</f>
        <v>0</v>
      </c>
      <c r="Y14" s="72">
        <f>V14+W14+X14</f>
        <v>60</v>
      </c>
      <c r="Z14" s="23">
        <f>S14+Y14</f>
        <v>1260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30</v>
      </c>
      <c r="W15" s="48">
        <f t="shared" si="1"/>
        <v>30</v>
      </c>
      <c r="X15" s="48">
        <f t="shared" si="1"/>
        <v>0</v>
      </c>
      <c r="Y15" s="7">
        <f t="shared" si="1"/>
        <v>60</v>
      </c>
      <c r="Z15" s="18">
        <f t="shared" si="1"/>
        <v>1260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1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" thickBot="1">
      <c r="A19" s="5">
        <v>1</v>
      </c>
      <c r="B19" s="71" t="s">
        <v>62</v>
      </c>
      <c r="C19" s="71" t="s">
        <v>63</v>
      </c>
      <c r="D19" s="5" t="s">
        <v>12</v>
      </c>
      <c r="E19" s="5" t="s">
        <v>12</v>
      </c>
      <c r="F19" s="47">
        <v>5</v>
      </c>
      <c r="G19" s="23">
        <v>150</v>
      </c>
      <c r="H19" s="72">
        <f>F19*G19</f>
        <v>750</v>
      </c>
      <c r="I19" s="72">
        <v>0</v>
      </c>
      <c r="J19" s="72">
        <v>0</v>
      </c>
      <c r="K19" s="72">
        <v>0</v>
      </c>
      <c r="L19" s="72">
        <f>H19</f>
        <v>750</v>
      </c>
      <c r="M19" s="72">
        <f>ROUND((L19*I19)/100,2)</f>
        <v>0</v>
      </c>
      <c r="N19" s="72">
        <f>H19-M19</f>
        <v>750</v>
      </c>
      <c r="O19" s="72">
        <f>ROUND((N19*J19)/100,2)</f>
        <v>0</v>
      </c>
      <c r="P19" s="72">
        <f>ROUND(N19-O19,2)</f>
        <v>750</v>
      </c>
      <c r="Q19" s="72">
        <f>ROUND((P19*K19)/100,2)</f>
        <v>0</v>
      </c>
      <c r="R19" s="23">
        <f>M19+O19+Q19</f>
        <v>0</v>
      </c>
      <c r="S19" s="72">
        <f>(H19-R19)</f>
        <v>750</v>
      </c>
      <c r="T19" s="23" t="s">
        <v>57</v>
      </c>
      <c r="U19" s="72">
        <v>18</v>
      </c>
      <c r="V19" s="72">
        <f>IF($C$17=1,ROUND(((S19*(U19/100))/2),2),0)</f>
        <v>67.5</v>
      </c>
      <c r="W19" s="72">
        <f>IF($C$17=1,ROUND(((S19*(U19/100))/2),2),0)</f>
        <v>67.5</v>
      </c>
      <c r="X19" s="72">
        <f>IF($C$17=2,ROUND(((S19*U19)),2),0)</f>
        <v>0</v>
      </c>
      <c r="Y19" s="72">
        <f>V19+W19+X19</f>
        <v>135</v>
      </c>
      <c r="Z19" s="23">
        <f>S19+Y19</f>
        <v>885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47">
        <v>1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3" t="s">
        <v>64</v>
      </c>
      <c r="C20" s="73" t="s">
        <v>64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5</v>
      </c>
      <c r="V20" s="72">
        <f>IF($C$17=1,ROUND(((S20*(U20/100))/2),2),0)</f>
        <v>30</v>
      </c>
      <c r="W20" s="72">
        <f>IF($C$17=1,ROUND(((S20*(U20/100))/2),2),0)</f>
        <v>30</v>
      </c>
      <c r="X20" s="72">
        <f>IF($C$17=2,ROUND(((S20*U20)),2),0)</f>
        <v>0</v>
      </c>
      <c r="Y20" s="72">
        <f>V20+W20+X20</f>
        <v>60</v>
      </c>
      <c r="Z20" s="23">
        <f>S20+Y20</f>
        <v>1260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47">
        <v>1</v>
      </c>
      <c r="AJ20" s="23">
        <f>F20/AI20</f>
        <v>6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0</v>
      </c>
      <c r="S21" s="7">
        <f t="shared" si="2"/>
        <v>1950</v>
      </c>
      <c r="T21" s="7"/>
      <c r="U21" s="7"/>
      <c r="V21" s="48">
        <f t="shared" si="2"/>
        <v>97.5</v>
      </c>
      <c r="W21" s="48">
        <f t="shared" si="2"/>
        <v>97.5</v>
      </c>
      <c r="X21" s="48">
        <f t="shared" si="2"/>
        <v>0</v>
      </c>
      <c r="Y21" s="7">
        <f t="shared" si="2"/>
        <v>195</v>
      </c>
      <c r="Z21" s="18">
        <f t="shared" si="2"/>
        <v>2145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sqref="A1:Z12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5" t="s">
        <v>13</v>
      </c>
      <c r="C5" s="5" t="s">
        <v>13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1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 ht="15">
      <c r="A10" s="5">
        <v>1</v>
      </c>
      <c r="B10" s="75" t="s">
        <v>10</v>
      </c>
      <c r="C10" s="5" t="s">
        <v>11</v>
      </c>
      <c r="D10" s="5" t="s">
        <v>12</v>
      </c>
      <c r="E10" s="5" t="s">
        <v>12</v>
      </c>
      <c r="F10" s="47">
        <v>5</v>
      </c>
      <c r="G10" s="23">
        <v>150</v>
      </c>
      <c r="H10" s="72">
        <f>F10*G10</f>
        <v>750</v>
      </c>
      <c r="I10" s="72">
        <v>5</v>
      </c>
      <c r="J10" s="72">
        <v>6</v>
      </c>
      <c r="K10" s="72">
        <v>7</v>
      </c>
      <c r="L10" s="72">
        <f>H10</f>
        <v>750</v>
      </c>
      <c r="M10" s="72">
        <f>ROUND((L10*I10)/100,2)</f>
        <v>37.5</v>
      </c>
      <c r="N10" s="72">
        <f>H10-M10</f>
        <v>712.5</v>
      </c>
      <c r="O10" s="72">
        <f>ROUND((N10*J10)/100,2)</f>
        <v>42.75</v>
      </c>
      <c r="P10" s="72">
        <f>ROUND(N10-O10,2)</f>
        <v>669.75</v>
      </c>
      <c r="Q10" s="72">
        <f>ROUND((P10*K10)/100,2)</f>
        <v>46.88</v>
      </c>
      <c r="R10" s="23">
        <f>M10+O10+Q10</f>
        <v>127.13</v>
      </c>
      <c r="S10" s="23">
        <f>(H10-R10)</f>
        <v>622.87</v>
      </c>
      <c r="T10" s="23" t="s">
        <v>57</v>
      </c>
      <c r="U10" s="72">
        <v>5</v>
      </c>
      <c r="V10" s="23">
        <f>IF($C$8=1,ROUND(((S10*(U10/100))/2),2),0)</f>
        <v>15.57</v>
      </c>
      <c r="W10" s="23">
        <f>IF($C$8=1,ROUND(((S10*(U10/100))/2),2),0)</f>
        <v>15.57</v>
      </c>
      <c r="X10" s="23">
        <f>IF($C$8=2,ROUND(((S10*U10)),2),0)</f>
        <v>0</v>
      </c>
      <c r="Y10" s="23">
        <f>V10+W10+X10</f>
        <v>31.14</v>
      </c>
      <c r="Z10" s="23">
        <f>S10+Y10</f>
        <v>654.01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622.87</v>
      </c>
      <c r="AG10" s="23" t="e">
        <f>IF($C$8=3,0,AD10+AE10)</f>
        <v>#REF!</v>
      </c>
      <c r="AH10" s="23">
        <f>IF($C$8=3,AB10+AD10+AE10,0)</f>
        <v>0</v>
      </c>
      <c r="AI10" s="47">
        <v>1</v>
      </c>
      <c r="AJ10" s="23">
        <f>F10/AI10</f>
        <v>5</v>
      </c>
      <c r="AK10" s="23">
        <f>AF10/AJ10</f>
        <v>124.574</v>
      </c>
      <c r="AL10" s="23" t="e">
        <f>AG10/AJ10</f>
        <v>#REF!</v>
      </c>
      <c r="AM10" s="23">
        <f>AH10/AJ10</f>
        <v>0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5" t="s">
        <v>13</v>
      </c>
      <c r="C11" s="5" t="s">
        <v>13</v>
      </c>
      <c r="D11" s="5" t="s">
        <v>12</v>
      </c>
      <c r="E11" s="5" t="s">
        <v>12</v>
      </c>
      <c r="F11" s="47">
        <v>6</v>
      </c>
      <c r="G11" s="23">
        <v>200</v>
      </c>
      <c r="H11" s="72">
        <f>F11*G11</f>
        <v>1200</v>
      </c>
      <c r="I11" s="72">
        <v>5</v>
      </c>
      <c r="J11" s="72">
        <v>2</v>
      </c>
      <c r="K11" s="72">
        <v>1</v>
      </c>
      <c r="L11" s="72">
        <f>H11</f>
        <v>1200</v>
      </c>
      <c r="M11" s="72">
        <f>ROUND((L11*I11)/100,2)</f>
        <v>60</v>
      </c>
      <c r="N11" s="72">
        <f>H11-M11</f>
        <v>1140</v>
      </c>
      <c r="O11" s="72">
        <f>ROUND((N11*J11)/100,2)</f>
        <v>22.8</v>
      </c>
      <c r="P11" s="72">
        <f>ROUND(N11-O11,2)</f>
        <v>1117.2</v>
      </c>
      <c r="Q11" s="72">
        <f>ROUND((P11*K11)/100,2)</f>
        <v>11.17</v>
      </c>
      <c r="R11" s="23">
        <f>M11+O11+Q11</f>
        <v>93.97</v>
      </c>
      <c r="S11" s="23">
        <f>(H11-R11)</f>
        <v>1106.03</v>
      </c>
      <c r="T11" s="23" t="s">
        <v>57</v>
      </c>
      <c r="U11" s="72">
        <v>5</v>
      </c>
      <c r="V11" s="23">
        <f>IF($C$8=1,ROUND(((S11*(U11/100))/2),2),0)</f>
        <v>27.65</v>
      </c>
      <c r="W11" s="23">
        <f>IF($C$8=1,ROUND(((S11*(U11/100))/2),2),0)</f>
        <v>27.65</v>
      </c>
      <c r="X11" s="23">
        <f>IF($C$8=2,ROUND(((S11*U11)),2),0)</f>
        <v>0</v>
      </c>
      <c r="Y11" s="23">
        <f>V11+W11+X11</f>
        <v>55.3</v>
      </c>
      <c r="Z11" s="23">
        <f>S11+Y11</f>
        <v>1161.33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1106.03</v>
      </c>
      <c r="AG11" s="23" t="e">
        <f>IF($C$8=3,0,AD11+AE11)</f>
        <v>#REF!</v>
      </c>
      <c r="AH11" s="23">
        <f>IF($C$8=3,AB11+AD11+AE11,0)</f>
        <v>0</v>
      </c>
      <c r="AI11" s="47">
        <v>1</v>
      </c>
      <c r="AJ11" s="23">
        <f>F11/AI11</f>
        <v>6</v>
      </c>
      <c r="AK11" s="23">
        <f>AF11/AJ11</f>
        <v>184.338333333333</v>
      </c>
      <c r="AL11" s="23" t="e">
        <f>AG11/AJ11</f>
        <v>#REF!</v>
      </c>
      <c r="AM11" s="23">
        <f>AH11/AJ11</f>
        <v>0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1950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221.1</v>
      </c>
      <c r="S12" s="7">
        <f t="shared" si="0"/>
        <v>1728.9</v>
      </c>
      <c r="T12" s="7"/>
      <c r="U12" s="7"/>
      <c r="V12" s="48">
        <f t="shared" si="0"/>
        <v>43.22</v>
      </c>
      <c r="W12" s="48">
        <f t="shared" si="0"/>
        <v>43.22</v>
      </c>
      <c r="X12" s="48">
        <f t="shared" si="0"/>
        <v>0</v>
      </c>
      <c r="Y12" s="7">
        <f t="shared" si="0"/>
        <v>86.44</v>
      </c>
      <c r="Z12" s="18">
        <f t="shared" si="0"/>
        <v>1815.34</v>
      </c>
      <c r="AA12" s="69">
        <f t="shared" si="0"/>
        <v>320</v>
      </c>
      <c r="AB12" s="69" t="e">
        <f t="shared" si="0"/>
        <v>#REF!</v>
      </c>
      <c r="AC12" s="18"/>
      <c r="AD12" s="69" t="e">
        <f t="shared" ref="AD12:AH12" si="1">SUM(AD10:AD11)</f>
        <v>#REF!</v>
      </c>
      <c r="AE12" s="69" t="e">
        <f t="shared" si="1"/>
        <v>#REF!</v>
      </c>
      <c r="AF12" s="69">
        <f t="shared" si="1"/>
        <v>1728.9</v>
      </c>
      <c r="AG12" s="69" t="e">
        <f t="shared" si="1"/>
        <v>#REF!</v>
      </c>
      <c r="AH12" s="69">
        <f t="shared" si="1"/>
        <v>0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21"/>
  <sheetViews>
    <sheetView showGridLines="0" topLeftCell="Q1" workbookViewId="0">
      <selection activeCell="U6" sqref="U6"/>
    </sheetView>
  </sheetViews>
  <sheetFormatPr defaultColWidth="9.140625" defaultRowHeight="14.25"/>
  <cols>
    <col min="1" max="1" width="8" style="2" customWidth="1"/>
    <col min="2" max="2" width="20.5703125" style="2" bestFit="1" customWidth="1"/>
    <col min="3" max="3" width="29.85546875" style="2" bestFit="1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 thickBot="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3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" thickBot="1">
      <c r="A9" s="5">
        <v>1</v>
      </c>
      <c r="B9" s="71" t="s">
        <v>62</v>
      </c>
      <c r="C9" s="71" t="s">
        <v>63</v>
      </c>
      <c r="D9" s="5" t="s">
        <v>12</v>
      </c>
      <c r="E9" s="5" t="s">
        <v>12</v>
      </c>
      <c r="F9" s="47">
        <v>5</v>
      </c>
      <c r="G9" s="23">
        <v>150</v>
      </c>
      <c r="H9" s="72">
        <f>F9*G9</f>
        <v>750</v>
      </c>
      <c r="I9" s="72">
        <v>0</v>
      </c>
      <c r="J9" s="72">
        <v>0</v>
      </c>
      <c r="K9" s="72">
        <v>0</v>
      </c>
      <c r="L9" s="72">
        <f>H9</f>
        <v>750</v>
      </c>
      <c r="M9" s="72">
        <f>ROUND((L9*I9)/100,2)</f>
        <v>0</v>
      </c>
      <c r="N9" s="72">
        <f>H9-M9</f>
        <v>750</v>
      </c>
      <c r="O9" s="72">
        <f>ROUND((N9*J9)/100,2)</f>
        <v>0</v>
      </c>
      <c r="P9" s="72">
        <f>ROUND(N9-O9,2)</f>
        <v>750</v>
      </c>
      <c r="Q9" s="72">
        <f>ROUND((P9*K9)/100,2)</f>
        <v>0</v>
      </c>
      <c r="R9" s="23">
        <f>M9+O9+Q9</f>
        <v>0</v>
      </c>
      <c r="S9" s="23">
        <f>(H9-R9)</f>
        <v>750</v>
      </c>
      <c r="T9" s="23" t="s">
        <v>57</v>
      </c>
      <c r="U9" s="72">
        <v>0</v>
      </c>
      <c r="V9" s="72">
        <f>IF($C$7=1,ROUND(((S9*(U9/100))/2),2),0)</f>
        <v>0</v>
      </c>
      <c r="W9" s="72">
        <f>IF($C$7=1,ROUND(((S9*(U9/100))/2),2),0)</f>
        <v>0</v>
      </c>
      <c r="X9" s="72">
        <f>IF($C$7=2,ROUND(((S9*U9)),2),0)</f>
        <v>0</v>
      </c>
      <c r="Y9" s="72">
        <f>V9+W9+X9</f>
        <v>0</v>
      </c>
      <c r="Z9" s="23">
        <f>S9+Y9</f>
        <v>750</v>
      </c>
      <c r="AA9" s="23">
        <v>120</v>
      </c>
      <c r="AB9" s="23" t="e">
        <f>IF($P$7=1,(S9/$S$10)*#REF!,AA9/$AA$10*#REF!)</f>
        <v>#REF!</v>
      </c>
      <c r="AC9" s="23"/>
      <c r="AD9" s="23" t="e">
        <f>IF($P$7=1,(S9/$S$10)*#REF!,AA9/$AA$10*#REF!)</f>
        <v>#REF!</v>
      </c>
      <c r="AE9" s="23" t="e">
        <f>IF($P$7=1,(S9/$S$10)*#REF!,AA9/$AA$10*#REF!)</f>
        <v>#REF!</v>
      </c>
      <c r="AF9" s="23">
        <f>S9*$M$7</f>
        <v>750</v>
      </c>
      <c r="AG9" s="23">
        <f>IF($C$7=3,0,AD9+AE9)</f>
        <v>0</v>
      </c>
      <c r="AH9" s="23" t="e">
        <f>IF($C$7=3,AB9+AD9+AE9,0)</f>
        <v>#REF!</v>
      </c>
      <c r="AI9" s="47">
        <v>1</v>
      </c>
      <c r="AJ9" s="23">
        <f>F9/AI9</f>
        <v>5</v>
      </c>
      <c r="AK9" s="23">
        <f>AF9/AJ9</f>
        <v>150</v>
      </c>
      <c r="AL9" s="23">
        <f>AG9/AJ9</f>
        <v>0</v>
      </c>
      <c r="AM9" s="23" t="e">
        <f>AH9/AJ9</f>
        <v>#REF!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0</v>
      </c>
      <c r="S10" s="7">
        <f>SUM(S9:S9)</f>
        <v>750</v>
      </c>
      <c r="T10" s="7"/>
      <c r="U10" s="7"/>
      <c r="V10" s="48">
        <f t="shared" ref="V10:AB10" si="0">SUM(V9:V9)</f>
        <v>0</v>
      </c>
      <c r="W10" s="48">
        <f t="shared" si="0"/>
        <v>0</v>
      </c>
      <c r="X10" s="48">
        <f t="shared" si="0"/>
        <v>0</v>
      </c>
      <c r="Y10" s="7">
        <f t="shared" si="0"/>
        <v>0</v>
      </c>
      <c r="Z10" s="18">
        <f t="shared" si="0"/>
        <v>750</v>
      </c>
      <c r="AA10" s="69">
        <f t="shared" si="0"/>
        <v>120</v>
      </c>
      <c r="AB10" s="69" t="e">
        <f t="shared" si="0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750</v>
      </c>
      <c r="AG10" s="69">
        <f>SUM(AG9:AG9)</f>
        <v>0</v>
      </c>
      <c r="AH10" s="69" t="e">
        <f>SUM(AH9:AH9)</f>
        <v>#REF!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3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1</v>
      </c>
      <c r="B14" s="73" t="s">
        <v>64</v>
      </c>
      <c r="C14" s="73" t="s">
        <v>64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23">
        <f>(H14-R14)</f>
        <v>1200</v>
      </c>
      <c r="T14" s="23" t="s">
        <v>57</v>
      </c>
      <c r="U14" s="72">
        <v>0</v>
      </c>
      <c r="V14" s="72">
        <f>IF($C$12=1,ROUND(((S14*(U14/100))/2),2),0)</f>
        <v>0</v>
      </c>
      <c r="W14" s="72">
        <f>IF($C$12=1,ROUND(((S14*(U14/100))/2),2),0)</f>
        <v>0</v>
      </c>
      <c r="X14" s="72">
        <f>IF($C$12=2,ROUND(((S14*U14)),2),0)</f>
        <v>0</v>
      </c>
      <c r="Y14" s="72">
        <f>V14+W14+X14</f>
        <v>0</v>
      </c>
      <c r="Z14" s="23">
        <f>S14+Y14</f>
        <v>1200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0</v>
      </c>
      <c r="W15" s="48">
        <f t="shared" si="1"/>
        <v>0</v>
      </c>
      <c r="X15" s="48">
        <f t="shared" si="1"/>
        <v>0</v>
      </c>
      <c r="Y15" s="7">
        <f t="shared" si="1"/>
        <v>0</v>
      </c>
      <c r="Z15" s="18">
        <f t="shared" si="1"/>
        <v>1200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3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" thickBot="1">
      <c r="A19" s="5">
        <v>1</v>
      </c>
      <c r="B19" s="71" t="s">
        <v>62</v>
      </c>
      <c r="C19" s="71" t="s">
        <v>63</v>
      </c>
      <c r="D19" s="5" t="s">
        <v>12</v>
      </c>
      <c r="E19" s="5" t="s">
        <v>12</v>
      </c>
      <c r="F19" s="47">
        <v>5</v>
      </c>
      <c r="G19" s="23">
        <v>150</v>
      </c>
      <c r="H19" s="72">
        <f>F19*G19</f>
        <v>750</v>
      </c>
      <c r="I19" s="72">
        <v>0</v>
      </c>
      <c r="J19" s="72">
        <v>0</v>
      </c>
      <c r="K19" s="72">
        <v>0</v>
      </c>
      <c r="L19" s="72">
        <f>H19</f>
        <v>750</v>
      </c>
      <c r="M19" s="72">
        <f>ROUND((L19*I19)/100,2)</f>
        <v>0</v>
      </c>
      <c r="N19" s="72">
        <f>H19-M19</f>
        <v>750</v>
      </c>
      <c r="O19" s="72">
        <f>ROUND((N19*J19)/100,2)</f>
        <v>0</v>
      </c>
      <c r="P19" s="72">
        <f>ROUND(N19-O19,2)</f>
        <v>750</v>
      </c>
      <c r="Q19" s="72">
        <f>ROUND((P19*K19)/100,2)</f>
        <v>0</v>
      </c>
      <c r="R19" s="23">
        <f>M19+O19+Q19</f>
        <v>0</v>
      </c>
      <c r="S19" s="72">
        <f>(H19-R19)</f>
        <v>750</v>
      </c>
      <c r="T19" s="23" t="s">
        <v>57</v>
      </c>
      <c r="U19" s="72">
        <v>0</v>
      </c>
      <c r="V19" s="72">
        <f>IF($C$17=1,ROUND(((S19*(U19/100))/2),2),0)</f>
        <v>0</v>
      </c>
      <c r="W19" s="72">
        <f>IF($C$17=1,ROUND(((S19*(U19/100))/2),2),0)</f>
        <v>0</v>
      </c>
      <c r="X19" s="72">
        <f>IF($C$17=2,ROUND(((S19*U19)),2),0)</f>
        <v>0</v>
      </c>
      <c r="Y19" s="72">
        <f>V19+W19+X19</f>
        <v>0</v>
      </c>
      <c r="Z19" s="23">
        <f>S19+Y19</f>
        <v>750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47">
        <v>1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3" t="s">
        <v>64</v>
      </c>
      <c r="C20" s="73" t="s">
        <v>64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0</v>
      </c>
      <c r="V20" s="72">
        <f>IF($C$17=1,ROUND(((S20*(U20/100))/2),2),0)</f>
        <v>0</v>
      </c>
      <c r="W20" s="72">
        <f>IF($C$17=1,ROUND(((S20*(U20/100))/2),2),0)</f>
        <v>0</v>
      </c>
      <c r="X20" s="72">
        <f>IF($C$17=2,ROUND(((S20*U20)),2),0)</f>
        <v>0</v>
      </c>
      <c r="Y20" s="72">
        <f>V20+W20+X20</f>
        <v>0</v>
      </c>
      <c r="Z20" s="23">
        <f>S20+Y20</f>
        <v>1200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47">
        <v>1</v>
      </c>
      <c r="AJ20" s="23">
        <f>F20/AI20</f>
        <v>6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0</v>
      </c>
      <c r="S21" s="7">
        <f t="shared" si="2"/>
        <v>1950</v>
      </c>
      <c r="T21" s="7"/>
      <c r="U21" s="7"/>
      <c r="V21" s="48">
        <f t="shared" si="2"/>
        <v>0</v>
      </c>
      <c r="W21" s="48">
        <f t="shared" si="2"/>
        <v>0</v>
      </c>
      <c r="X21" s="48">
        <f t="shared" si="2"/>
        <v>0</v>
      </c>
      <c r="Y21" s="7">
        <f t="shared" si="2"/>
        <v>0</v>
      </c>
      <c r="Z21" s="18">
        <f t="shared" si="2"/>
        <v>1950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21"/>
  <sheetViews>
    <sheetView showGridLines="0" topLeftCell="E4" workbookViewId="0">
      <selection activeCell="Z5" sqref="Z5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.75" thickBot="1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3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1</v>
      </c>
      <c r="B9" s="75" t="s">
        <v>10</v>
      </c>
      <c r="C9" s="5" t="s">
        <v>11</v>
      </c>
      <c r="D9" s="5" t="s">
        <v>12</v>
      </c>
      <c r="E9" s="5" t="s">
        <v>12</v>
      </c>
      <c r="F9" s="47">
        <v>5</v>
      </c>
      <c r="G9" s="23">
        <v>150</v>
      </c>
      <c r="H9" s="72">
        <f>F9*G9</f>
        <v>750</v>
      </c>
      <c r="I9" s="72">
        <v>5</v>
      </c>
      <c r="J9" s="72">
        <v>6</v>
      </c>
      <c r="K9" s="72">
        <v>7</v>
      </c>
      <c r="L9" s="72">
        <f>H9</f>
        <v>750</v>
      </c>
      <c r="M9" s="72">
        <f>ROUND((L9*I9)/100,2)</f>
        <v>37.5</v>
      </c>
      <c r="N9" s="72">
        <f>H9-M9</f>
        <v>712.5</v>
      </c>
      <c r="O9" s="72">
        <f>ROUND((N9*J9)/100,2)</f>
        <v>42.75</v>
      </c>
      <c r="P9" s="72">
        <f>ROUND(N9-O9,2)</f>
        <v>669.75</v>
      </c>
      <c r="Q9" s="72">
        <f>ROUND((P9*K9)/100,2)</f>
        <v>46.88</v>
      </c>
      <c r="R9" s="23">
        <f>M9+O9+Q9</f>
        <v>127.13</v>
      </c>
      <c r="S9" s="23">
        <f>(H9-R9)</f>
        <v>622.87</v>
      </c>
      <c r="T9" s="23" t="s">
        <v>57</v>
      </c>
      <c r="U9" s="72">
        <v>0</v>
      </c>
      <c r="V9" s="72">
        <f>IF($C$7=1,ROUND(((S9*(U9/100))/2),2),0)</f>
        <v>0</v>
      </c>
      <c r="W9" s="72">
        <f>IF($C$7=1,ROUND(((S9*(U9/100))/2),2),0)</f>
        <v>0</v>
      </c>
      <c r="X9" s="72">
        <f>IF($C$7=2,ROUND(((S9*U9)),2),0)</f>
        <v>0</v>
      </c>
      <c r="Y9" s="72">
        <f>V9+W9+X9</f>
        <v>0</v>
      </c>
      <c r="Z9" s="23">
        <f>S9+Y9</f>
        <v>622.87</v>
      </c>
      <c r="AA9" s="23">
        <v>120</v>
      </c>
      <c r="AB9" s="23" t="e">
        <f>IF($P$7=1,(S9/$S$10)*#REF!,AA9/$AA$10*#REF!)</f>
        <v>#REF!</v>
      </c>
      <c r="AC9" s="23"/>
      <c r="AD9" s="23" t="e">
        <f>IF($P$7=1,(S9/$S$10)*#REF!,AA9/$AA$10*#REF!)</f>
        <v>#REF!</v>
      </c>
      <c r="AE9" s="23" t="e">
        <f>IF($P$7=1,(S9/$S$10)*#REF!,AA9/$AA$10*#REF!)</f>
        <v>#REF!</v>
      </c>
      <c r="AF9" s="23">
        <f>S9*$M$7</f>
        <v>622.87</v>
      </c>
      <c r="AG9" s="23">
        <f>IF($C$7=3,0,AD9+AE9)</f>
        <v>0</v>
      </c>
      <c r="AH9" s="23" t="e">
        <f>IF($C$7=3,AB9+AD9+AE9,0)</f>
        <v>#REF!</v>
      </c>
      <c r="AI9" s="47">
        <v>1</v>
      </c>
      <c r="AJ9" s="23">
        <f>F9/AI9</f>
        <v>5</v>
      </c>
      <c r="AK9" s="23">
        <f>AF9/AJ9</f>
        <v>124.574</v>
      </c>
      <c r="AL9" s="23">
        <f>AG9/AJ9</f>
        <v>0</v>
      </c>
      <c r="AM9" s="23" t="e">
        <f>AH9/AJ9</f>
        <v>#REF!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127.13</v>
      </c>
      <c r="S10" s="7">
        <f>SUM(S9:S9)</f>
        <v>622.87</v>
      </c>
      <c r="T10" s="7"/>
      <c r="U10" s="7"/>
      <c r="V10" s="48">
        <f t="shared" ref="V10:AB10" si="0">SUM(V9:V9)</f>
        <v>0</v>
      </c>
      <c r="W10" s="48">
        <f t="shared" si="0"/>
        <v>0</v>
      </c>
      <c r="X10" s="48">
        <f t="shared" si="0"/>
        <v>0</v>
      </c>
      <c r="Y10" s="7">
        <f t="shared" si="0"/>
        <v>0</v>
      </c>
      <c r="Z10" s="18">
        <f t="shared" si="0"/>
        <v>622.87</v>
      </c>
      <c r="AA10" s="69">
        <f t="shared" si="0"/>
        <v>120</v>
      </c>
      <c r="AB10" s="69" t="e">
        <f t="shared" si="0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622.87</v>
      </c>
      <c r="AG10" s="69">
        <f>SUM(AG9:AG9)</f>
        <v>0</v>
      </c>
      <c r="AH10" s="69" t="e">
        <f>SUM(AH9:AH9)</f>
        <v>#REF!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3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1</v>
      </c>
      <c r="B14" s="75" t="s">
        <v>13</v>
      </c>
      <c r="C14" s="5" t="s">
        <v>13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23">
        <f>(H14-R14)</f>
        <v>1200</v>
      </c>
      <c r="T14" s="23" t="s">
        <v>57</v>
      </c>
      <c r="U14" s="72">
        <v>0</v>
      </c>
      <c r="V14" s="72">
        <f>IF($C$12=1,ROUND(((S14*(U14/100))/2),2),0)</f>
        <v>0</v>
      </c>
      <c r="W14" s="72">
        <f>IF($C$12=1,ROUND(((S14*(U14/100))/2),2),0)</f>
        <v>0</v>
      </c>
      <c r="X14" s="72">
        <f>IF($C$12=2,ROUND(((S14*U14)),2),0)</f>
        <v>0</v>
      </c>
      <c r="Y14" s="72">
        <f>V14+W14+X14</f>
        <v>0</v>
      </c>
      <c r="Z14" s="23">
        <f>S14+Y14</f>
        <v>1200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0</v>
      </c>
      <c r="W15" s="48">
        <f t="shared" si="1"/>
        <v>0</v>
      </c>
      <c r="X15" s="48">
        <f t="shared" si="1"/>
        <v>0</v>
      </c>
      <c r="Y15" s="7">
        <f t="shared" si="1"/>
        <v>0</v>
      </c>
      <c r="Z15" s="18">
        <f t="shared" si="1"/>
        <v>1200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3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.75" thickBot="1">
      <c r="A19" s="5">
        <v>1</v>
      </c>
      <c r="B19" s="75" t="s">
        <v>10</v>
      </c>
      <c r="C19" s="5" t="s">
        <v>11</v>
      </c>
      <c r="D19" s="5" t="s">
        <v>12</v>
      </c>
      <c r="E19" s="5" t="s">
        <v>12</v>
      </c>
      <c r="F19" s="47">
        <v>5</v>
      </c>
      <c r="G19" s="23">
        <v>150</v>
      </c>
      <c r="H19" s="72">
        <f>F19*G19</f>
        <v>750</v>
      </c>
      <c r="I19" s="72">
        <v>5</v>
      </c>
      <c r="J19" s="72">
        <v>6</v>
      </c>
      <c r="K19" s="72">
        <v>7</v>
      </c>
      <c r="L19" s="72">
        <f>H19</f>
        <v>750</v>
      </c>
      <c r="M19" s="72">
        <f>ROUND((L19*I19)/100,2)</f>
        <v>37.5</v>
      </c>
      <c r="N19" s="72">
        <f>H19-M19</f>
        <v>712.5</v>
      </c>
      <c r="O19" s="72">
        <f>ROUND((N19*J19)/100,2)</f>
        <v>42.75</v>
      </c>
      <c r="P19" s="72">
        <f>ROUND(N19-O19,2)</f>
        <v>669.75</v>
      </c>
      <c r="Q19" s="72">
        <f>ROUND((P19*K19)/100,2)</f>
        <v>46.88</v>
      </c>
      <c r="R19" s="23">
        <f>M19+O19+Q19</f>
        <v>127.13</v>
      </c>
      <c r="S19" s="72">
        <f>(H19-R19)</f>
        <v>622.87</v>
      </c>
      <c r="T19" s="23" t="s">
        <v>57</v>
      </c>
      <c r="U19" s="72">
        <v>0</v>
      </c>
      <c r="V19" s="72">
        <f>IF($C$17=1,ROUND(((S19*(U19/100))/2),2),0)</f>
        <v>0</v>
      </c>
      <c r="W19" s="72">
        <f>IF($C$17=1,ROUND(((S19*(U19/100))/2),2),0)</f>
        <v>0</v>
      </c>
      <c r="X19" s="72">
        <f>IF($C$17=2,ROUND(((S19*U19)),2),0)</f>
        <v>0</v>
      </c>
      <c r="Y19" s="72">
        <f>V19+W19+X19</f>
        <v>0</v>
      </c>
      <c r="Z19" s="23">
        <f>S19+Y19</f>
        <v>622.87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47">
        <v>1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5" t="s">
        <v>13</v>
      </c>
      <c r="C20" s="5" t="s">
        <v>13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0</v>
      </c>
      <c r="V20" s="72">
        <f>IF($C$17=1,ROUND(((S20*(U20/100))/2),2),0)</f>
        <v>0</v>
      </c>
      <c r="W20" s="72">
        <f>IF($C$17=1,ROUND(((S20*(U20/100))/2),2),0)</f>
        <v>0</v>
      </c>
      <c r="X20" s="72">
        <f>IF($C$17=2,ROUND(((S20*U20)),2),0)</f>
        <v>0</v>
      </c>
      <c r="Y20" s="72">
        <f>V20+W20+X20</f>
        <v>0</v>
      </c>
      <c r="Z20" s="23">
        <f>S20+Y20</f>
        <v>1200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47">
        <v>1</v>
      </c>
      <c r="AJ20" s="23">
        <f>F20/AI20</f>
        <v>6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127.13</v>
      </c>
      <c r="S21" s="7">
        <f t="shared" si="2"/>
        <v>1822.87</v>
      </c>
      <c r="T21" s="7"/>
      <c r="U21" s="7"/>
      <c r="V21" s="48">
        <f t="shared" si="2"/>
        <v>0</v>
      </c>
      <c r="W21" s="48">
        <f t="shared" si="2"/>
        <v>0</v>
      </c>
      <c r="X21" s="48">
        <f t="shared" si="2"/>
        <v>0</v>
      </c>
      <c r="Y21" s="7">
        <f t="shared" si="2"/>
        <v>0</v>
      </c>
      <c r="Z21" s="18">
        <f t="shared" si="2"/>
        <v>1822.87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O21"/>
  <sheetViews>
    <sheetView showGridLines="0" workbookViewId="0">
      <selection activeCell="X24" sqref="X24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.75" thickBo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41" ht="15.75" thickTop="1" thickBo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.75" thickBot="1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 thickBot="1">
      <c r="B5" s="84" t="s">
        <v>14</v>
      </c>
      <c r="C5" s="84"/>
      <c r="D5" s="84"/>
      <c r="E5" s="84"/>
      <c r="F5" s="84"/>
      <c r="G5" s="84"/>
      <c r="H5" s="74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/>
      <c r="S5" s="40"/>
      <c r="T5" s="40"/>
      <c r="U5" s="40"/>
      <c r="V5" s="40"/>
      <c r="W5" s="40"/>
      <c r="X5" s="40"/>
      <c r="Y5" s="40"/>
      <c r="Z5" s="40"/>
    </row>
    <row r="6" spans="1:41" ht="27.75" customHeight="1">
      <c r="A6" s="40" t="s">
        <v>15</v>
      </c>
      <c r="B6" s="41"/>
      <c r="C6" s="41"/>
      <c r="D6" s="41"/>
      <c r="E6" s="41"/>
      <c r="F6" s="41"/>
      <c r="G6" s="41"/>
      <c r="H6" s="40"/>
      <c r="I6" s="57"/>
      <c r="J6" s="57"/>
      <c r="K6" s="57"/>
      <c r="L6" s="57"/>
      <c r="M6" s="57"/>
      <c r="N6" s="57"/>
      <c r="O6" s="57"/>
      <c r="P6" s="57"/>
      <c r="Q6" s="57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19.899999999999999" customHeight="1">
      <c r="A7" s="82" t="s">
        <v>16</v>
      </c>
      <c r="B7" s="82"/>
      <c r="C7" s="42">
        <v>1</v>
      </c>
      <c r="D7" s="43" t="s">
        <v>17</v>
      </c>
      <c r="E7" s="41"/>
      <c r="F7" s="41"/>
      <c r="G7" s="41"/>
      <c r="H7" s="40"/>
      <c r="I7" s="57" t="s">
        <v>18</v>
      </c>
      <c r="J7" s="57" t="s">
        <v>19</v>
      </c>
      <c r="K7" s="57"/>
      <c r="L7" s="57" t="s">
        <v>20</v>
      </c>
      <c r="M7" s="57">
        <v>1</v>
      </c>
      <c r="N7" s="57"/>
      <c r="O7" s="57" t="s">
        <v>21</v>
      </c>
      <c r="P7" s="57">
        <v>2</v>
      </c>
      <c r="Q7" s="57" t="s">
        <v>22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" customFormat="1" ht="43.5" thickBot="1">
      <c r="A8" s="44" t="s">
        <v>2</v>
      </c>
      <c r="B8" s="44" t="s">
        <v>3</v>
      </c>
      <c r="C8" s="45" t="s">
        <v>4</v>
      </c>
      <c r="D8" s="44" t="s">
        <v>5</v>
      </c>
      <c r="E8" s="44" t="s">
        <v>6</v>
      </c>
      <c r="F8" s="46" t="s">
        <v>23</v>
      </c>
      <c r="G8" s="44" t="s">
        <v>8</v>
      </c>
      <c r="H8" s="44" t="s">
        <v>9</v>
      </c>
      <c r="I8" s="58" t="s">
        <v>24</v>
      </c>
      <c r="J8" s="58" t="s">
        <v>25</v>
      </c>
      <c r="K8" s="58" t="s">
        <v>26</v>
      </c>
      <c r="L8" s="59" t="s">
        <v>27</v>
      </c>
      <c r="M8" s="59" t="s">
        <v>28</v>
      </c>
      <c r="N8" s="59" t="s">
        <v>29</v>
      </c>
      <c r="O8" s="59" t="s">
        <v>30</v>
      </c>
      <c r="P8" s="59" t="s">
        <v>31</v>
      </c>
      <c r="Q8" s="59" t="s">
        <v>32</v>
      </c>
      <c r="R8" s="58" t="s">
        <v>33</v>
      </c>
      <c r="S8" s="44" t="s">
        <v>34</v>
      </c>
      <c r="T8" s="44" t="s">
        <v>35</v>
      </c>
      <c r="U8" s="63" t="s">
        <v>36</v>
      </c>
      <c r="V8" s="63" t="s">
        <v>37</v>
      </c>
      <c r="W8" s="63" t="s">
        <v>38</v>
      </c>
      <c r="X8" s="63" t="s">
        <v>39</v>
      </c>
      <c r="Y8" s="63" t="s">
        <v>40</v>
      </c>
      <c r="Z8" s="67" t="s">
        <v>41</v>
      </c>
      <c r="AA8" s="67" t="s">
        <v>42</v>
      </c>
      <c r="AB8" s="68" t="s">
        <v>43</v>
      </c>
      <c r="AC8" s="68" t="s">
        <v>44</v>
      </c>
      <c r="AD8" s="68" t="s">
        <v>45</v>
      </c>
      <c r="AE8" s="67" t="s">
        <v>46</v>
      </c>
      <c r="AF8" s="67" t="s">
        <v>47</v>
      </c>
      <c r="AG8" s="68" t="s">
        <v>48</v>
      </c>
      <c r="AH8" s="68" t="s">
        <v>49</v>
      </c>
      <c r="AI8" s="67" t="s">
        <v>50</v>
      </c>
      <c r="AJ8" s="67" t="s">
        <v>51</v>
      </c>
      <c r="AK8" s="68" t="s">
        <v>52</v>
      </c>
      <c r="AL8" s="68" t="s">
        <v>53</v>
      </c>
      <c r="AM8" s="68" t="s">
        <v>54</v>
      </c>
      <c r="AN8" s="67" t="s">
        <v>55</v>
      </c>
      <c r="AO8" s="70" t="s">
        <v>56</v>
      </c>
    </row>
    <row r="9" spans="1:41" ht="15.75" thickBot="1">
      <c r="A9" s="5">
        <v>1</v>
      </c>
      <c r="B9" s="75" t="s">
        <v>10</v>
      </c>
      <c r="C9" s="5" t="s">
        <v>11</v>
      </c>
      <c r="D9" s="5" t="s">
        <v>12</v>
      </c>
      <c r="E9" s="5" t="s">
        <v>12</v>
      </c>
      <c r="F9" s="47">
        <v>5</v>
      </c>
      <c r="G9" s="23">
        <v>150</v>
      </c>
      <c r="H9" s="72">
        <f>F9*G9</f>
        <v>750</v>
      </c>
      <c r="I9" s="72">
        <v>5</v>
      </c>
      <c r="J9" s="72">
        <v>6</v>
      </c>
      <c r="K9" s="72">
        <v>7</v>
      </c>
      <c r="L9" s="72">
        <f>H9</f>
        <v>750</v>
      </c>
      <c r="M9" s="72">
        <f>ROUND((L9*I9)/100,2)</f>
        <v>37.5</v>
      </c>
      <c r="N9" s="72">
        <f>H9-M9</f>
        <v>712.5</v>
      </c>
      <c r="O9" s="72">
        <f>ROUND((N9*J9)/100,2)</f>
        <v>42.75</v>
      </c>
      <c r="P9" s="72">
        <f>ROUND(N9-O9,2)</f>
        <v>669.75</v>
      </c>
      <c r="Q9" s="72">
        <f>ROUND((P9*K9)/100,2)</f>
        <v>46.88</v>
      </c>
      <c r="R9" s="23">
        <f>M9+O9+Q9</f>
        <v>127.13</v>
      </c>
      <c r="S9" s="23">
        <f>(H9-R9)</f>
        <v>622.87</v>
      </c>
      <c r="T9" s="23" t="s">
        <v>57</v>
      </c>
      <c r="U9" s="72">
        <v>5</v>
      </c>
      <c r="V9" s="23">
        <f>IF($C$7=1,ROUND(((S9*(U9/100))/2),2),0)</f>
        <v>15.57</v>
      </c>
      <c r="W9" s="23">
        <f>IF($C$7=1,ROUND(((S9*(U9/100))/2),2),0)</f>
        <v>15.57</v>
      </c>
      <c r="X9" s="23">
        <f>IF($C$7=2,ROUND(((S9*U9)),2),0)</f>
        <v>0</v>
      </c>
      <c r="Y9" s="23">
        <f>V9+W9+X9</f>
        <v>31.14</v>
      </c>
      <c r="Z9" s="23">
        <f>S9+Y9</f>
        <v>654.01</v>
      </c>
      <c r="AA9" s="23">
        <v>120</v>
      </c>
      <c r="AB9" s="23" t="e">
        <f>IF($P$7=1,(S9/$S$10)*#REF!,AA9/$AA$10*#REF!)</f>
        <v>#REF!</v>
      </c>
      <c r="AC9" s="23"/>
      <c r="AD9" s="23" t="e">
        <f>IF($P$7=1,(S9/$S$10)*#REF!,AA9/$AA$10*#REF!)</f>
        <v>#REF!</v>
      </c>
      <c r="AE9" s="23" t="e">
        <f>IF($P$7=1,(S9/$S$10)*#REF!,AA9/$AA$10*#REF!)</f>
        <v>#REF!</v>
      </c>
      <c r="AF9" s="23">
        <f>S9*$M$7</f>
        <v>622.87</v>
      </c>
      <c r="AG9" s="23" t="e">
        <f>IF($C$7=3,0,AD9+AE9)</f>
        <v>#REF!</v>
      </c>
      <c r="AH9" s="23">
        <f>IF($C$7=3,AB9+AD9+AE9,0)</f>
        <v>0</v>
      </c>
      <c r="AI9" s="47">
        <v>1</v>
      </c>
      <c r="AJ9" s="23">
        <f>F9/AI9</f>
        <v>5</v>
      </c>
      <c r="AK9" s="23">
        <f>AF9/AJ9</f>
        <v>124.574</v>
      </c>
      <c r="AL9" s="23" t="e">
        <f>AG9/AJ9</f>
        <v>#REF!</v>
      </c>
      <c r="AM9" s="23">
        <f>AH9/AJ9</f>
        <v>0</v>
      </c>
      <c r="AN9" s="23" t="s">
        <v>12</v>
      </c>
      <c r="AO9" s="23" t="e">
        <f>AK9+AL9+AM9</f>
        <v>#REF!</v>
      </c>
    </row>
    <row r="10" spans="1:41" ht="15" thickBot="1">
      <c r="B10" s="81" t="s">
        <v>14</v>
      </c>
      <c r="C10" s="81"/>
      <c r="D10" s="81"/>
      <c r="E10" s="81"/>
      <c r="F10" s="81"/>
      <c r="G10" s="81"/>
      <c r="H10" s="74">
        <f>SUM(H9:H9)</f>
        <v>750</v>
      </c>
      <c r="I10" s="5"/>
      <c r="J10" s="5"/>
      <c r="K10" s="5"/>
      <c r="L10" s="5"/>
      <c r="M10" s="5"/>
      <c r="N10" s="5"/>
      <c r="O10" s="5"/>
      <c r="P10" s="5"/>
      <c r="Q10" s="5"/>
      <c r="R10" s="7">
        <f>SUM(R9:R9)</f>
        <v>127.13</v>
      </c>
      <c r="S10" s="7">
        <f>SUM(S9:S9)</f>
        <v>622.87</v>
      </c>
      <c r="T10" s="7"/>
      <c r="U10" s="7"/>
      <c r="V10" s="48">
        <f t="shared" ref="V10:AB10" si="0">SUM(V9:V9)</f>
        <v>15.57</v>
      </c>
      <c r="W10" s="48">
        <f t="shared" si="0"/>
        <v>15.57</v>
      </c>
      <c r="X10" s="48">
        <f t="shared" si="0"/>
        <v>0</v>
      </c>
      <c r="Y10" s="7">
        <f t="shared" si="0"/>
        <v>31.14</v>
      </c>
      <c r="Z10" s="18">
        <f t="shared" si="0"/>
        <v>654.01</v>
      </c>
      <c r="AA10" s="69">
        <f t="shared" si="0"/>
        <v>120</v>
      </c>
      <c r="AB10" s="69" t="e">
        <f t="shared" si="0"/>
        <v>#REF!</v>
      </c>
      <c r="AC10" s="18"/>
      <c r="AD10" s="69" t="e">
        <f>SUM(AD9:AD9)</f>
        <v>#REF!</v>
      </c>
      <c r="AE10" s="69" t="e">
        <f>SUM(AE9:AE9)</f>
        <v>#REF!</v>
      </c>
      <c r="AF10" s="69">
        <f>SUM(AF9:AF9)</f>
        <v>622.87</v>
      </c>
      <c r="AG10" s="69" t="e">
        <f>SUM(AG9:AG9)</f>
        <v>#REF!</v>
      </c>
      <c r="AH10" s="69">
        <f>SUM(AH9:AH9)</f>
        <v>0</v>
      </c>
      <c r="AI10" s="18"/>
      <c r="AJ10" s="18"/>
      <c r="AK10" s="18"/>
      <c r="AL10" s="18"/>
      <c r="AM10" s="18"/>
      <c r="AN10" s="18"/>
      <c r="AO10" s="18"/>
    </row>
    <row r="11" spans="1:41">
      <c r="A11" s="40" t="s">
        <v>65</v>
      </c>
      <c r="B11" s="41"/>
      <c r="C11" s="41"/>
      <c r="D11" s="41"/>
      <c r="E11" s="41"/>
      <c r="F11" s="41"/>
      <c r="G11" s="41"/>
      <c r="H11" s="40"/>
      <c r="I11" s="57"/>
      <c r="J11" s="57"/>
      <c r="K11" s="57"/>
      <c r="L11" s="57"/>
      <c r="M11" s="57"/>
      <c r="N11" s="57"/>
      <c r="O11" s="57"/>
      <c r="P11" s="57"/>
      <c r="Q11" s="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1:41">
      <c r="A12" s="82" t="s">
        <v>16</v>
      </c>
      <c r="B12" s="82"/>
      <c r="C12" s="42">
        <v>1</v>
      </c>
      <c r="D12" s="43" t="s">
        <v>17</v>
      </c>
      <c r="E12" s="41"/>
      <c r="F12" s="41"/>
      <c r="G12" s="41"/>
      <c r="H12" s="40"/>
      <c r="I12" s="57" t="s">
        <v>18</v>
      </c>
      <c r="J12" s="57" t="s">
        <v>19</v>
      </c>
      <c r="K12" s="57"/>
      <c r="L12" s="57" t="s">
        <v>20</v>
      </c>
      <c r="M12" s="57">
        <v>1</v>
      </c>
      <c r="N12" s="57"/>
      <c r="O12" s="57" t="s">
        <v>21</v>
      </c>
      <c r="P12" s="57">
        <v>2</v>
      </c>
      <c r="Q12" s="57" t="s">
        <v>22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43.5" thickBot="1">
      <c r="A13" s="44" t="s">
        <v>2</v>
      </c>
      <c r="B13" s="44" t="s">
        <v>3</v>
      </c>
      <c r="C13" s="45" t="s">
        <v>4</v>
      </c>
      <c r="D13" s="44" t="s">
        <v>5</v>
      </c>
      <c r="E13" s="44" t="s">
        <v>6</v>
      </c>
      <c r="F13" s="46" t="s">
        <v>23</v>
      </c>
      <c r="G13" s="44" t="s">
        <v>8</v>
      </c>
      <c r="H13" s="44" t="s">
        <v>9</v>
      </c>
      <c r="I13" s="58" t="s">
        <v>24</v>
      </c>
      <c r="J13" s="58" t="s">
        <v>25</v>
      </c>
      <c r="K13" s="58" t="s">
        <v>26</v>
      </c>
      <c r="L13" s="59" t="s">
        <v>27</v>
      </c>
      <c r="M13" s="59" t="s">
        <v>28</v>
      </c>
      <c r="N13" s="59" t="s">
        <v>29</v>
      </c>
      <c r="O13" s="59" t="s">
        <v>30</v>
      </c>
      <c r="P13" s="59" t="s">
        <v>31</v>
      </c>
      <c r="Q13" s="59" t="s">
        <v>32</v>
      </c>
      <c r="R13" s="58" t="s">
        <v>33</v>
      </c>
      <c r="S13" s="44" t="s">
        <v>34</v>
      </c>
      <c r="T13" s="44" t="s">
        <v>35</v>
      </c>
      <c r="U13" s="63" t="s">
        <v>36</v>
      </c>
      <c r="V13" s="63" t="s">
        <v>37</v>
      </c>
      <c r="W13" s="63" t="s">
        <v>38</v>
      </c>
      <c r="X13" s="63" t="s">
        <v>39</v>
      </c>
      <c r="Y13" s="63" t="s">
        <v>40</v>
      </c>
      <c r="Z13" s="67" t="s">
        <v>41</v>
      </c>
      <c r="AA13" s="67" t="s">
        <v>42</v>
      </c>
      <c r="AB13" s="68" t="s">
        <v>43</v>
      </c>
      <c r="AC13" s="68" t="s">
        <v>44</v>
      </c>
      <c r="AD13" s="68" t="s">
        <v>45</v>
      </c>
      <c r="AE13" s="67" t="s">
        <v>46</v>
      </c>
      <c r="AF13" s="67" t="s">
        <v>47</v>
      </c>
      <c r="AG13" s="68" t="s">
        <v>48</v>
      </c>
      <c r="AH13" s="68" t="s">
        <v>49</v>
      </c>
      <c r="AI13" s="67" t="s">
        <v>50</v>
      </c>
      <c r="AJ13" s="67" t="s">
        <v>51</v>
      </c>
      <c r="AK13" s="68" t="s">
        <v>52</v>
      </c>
      <c r="AL13" s="68" t="s">
        <v>53</v>
      </c>
      <c r="AM13" s="68" t="s">
        <v>54</v>
      </c>
      <c r="AN13" s="67" t="s">
        <v>55</v>
      </c>
      <c r="AO13" s="70" t="s">
        <v>56</v>
      </c>
    </row>
    <row r="14" spans="1:41" ht="15.75" thickBot="1">
      <c r="A14" s="5">
        <v>1</v>
      </c>
      <c r="B14" s="75" t="s">
        <v>13</v>
      </c>
      <c r="C14" s="5" t="s">
        <v>13</v>
      </c>
      <c r="D14" s="5" t="s">
        <v>12</v>
      </c>
      <c r="E14" s="5" t="s">
        <v>12</v>
      </c>
      <c r="F14" s="47">
        <v>6</v>
      </c>
      <c r="G14" s="23">
        <v>200</v>
      </c>
      <c r="H14" s="72">
        <f>F14*G14</f>
        <v>1200</v>
      </c>
      <c r="I14" s="72">
        <v>0</v>
      </c>
      <c r="J14" s="72">
        <v>0</v>
      </c>
      <c r="K14" s="72">
        <v>0</v>
      </c>
      <c r="L14" s="72">
        <f>H14</f>
        <v>1200</v>
      </c>
      <c r="M14" s="72">
        <f>ROUND((L14*I14)/100,2)</f>
        <v>0</v>
      </c>
      <c r="N14" s="72">
        <f>H14-M14</f>
        <v>1200</v>
      </c>
      <c r="O14" s="72">
        <f>ROUND((N14*J14)/100,2)</f>
        <v>0</v>
      </c>
      <c r="P14" s="72">
        <f>ROUND(N14-O14,2)</f>
        <v>1200</v>
      </c>
      <c r="Q14" s="72">
        <f>ROUND((P14*K14)/100,2)</f>
        <v>0</v>
      </c>
      <c r="R14" s="23">
        <f>M14+O14+Q14</f>
        <v>0</v>
      </c>
      <c r="S14" s="23">
        <f>(H14-R14)</f>
        <v>1200</v>
      </c>
      <c r="T14" s="23" t="s">
        <v>57</v>
      </c>
      <c r="U14" s="72">
        <v>5</v>
      </c>
      <c r="V14" s="23">
        <f>IF($C$12=1,ROUND(((S14*(U14/100))/2),2),0)</f>
        <v>30</v>
      </c>
      <c r="W14" s="23">
        <f>IF($C$12=1,ROUND(((S14*(U14/100))/2),2),0)</f>
        <v>30</v>
      </c>
      <c r="X14" s="23">
        <f>IF($C$12=2,ROUND(((S14*U14)),2),0)</f>
        <v>0</v>
      </c>
      <c r="Y14" s="23">
        <f>V14+W14+X14</f>
        <v>60</v>
      </c>
      <c r="Z14" s="23">
        <f>S14+Y14</f>
        <v>1260</v>
      </c>
      <c r="AA14" s="23">
        <v>200</v>
      </c>
      <c r="AB14" s="23" t="e">
        <f>IF($P$2=1,(S14/$S$5)*#REF!,AA14/$AA$5*#REF!)</f>
        <v>#DIV/0!</v>
      </c>
      <c r="AC14" s="23"/>
      <c r="AD14" s="23" t="e">
        <f>IF($P$2=1,(S14/$S$5)*#REF!,AA14/$AA$5*#REF!)</f>
        <v>#DIV/0!</v>
      </c>
      <c r="AE14" s="23" t="e">
        <f>IF($P$2=1,(S14/$S$5)*#REF!,AA14/$AA$5*#REF!)</f>
        <v>#DIV/0!</v>
      </c>
      <c r="AF14" s="23">
        <f>S14*$M$2</f>
        <v>0</v>
      </c>
      <c r="AG14" s="23" t="e">
        <f>IF($C$2=3,0,AD14+AE14)</f>
        <v>#DIV/0!</v>
      </c>
      <c r="AH14" s="23">
        <f>IF($C$2=3,AB14+AD14+AE14,0)</f>
        <v>0</v>
      </c>
      <c r="AI14" s="47">
        <v>1</v>
      </c>
      <c r="AJ14" s="23">
        <f>F14/AI14</f>
        <v>6</v>
      </c>
      <c r="AK14" s="23">
        <f>AF14/AJ14</f>
        <v>0</v>
      </c>
      <c r="AL14" s="23" t="e">
        <f>AG14/AJ14</f>
        <v>#DIV/0!</v>
      </c>
      <c r="AM14" s="23">
        <f>AH14/AJ14</f>
        <v>0</v>
      </c>
      <c r="AN14" s="23" t="s">
        <v>12</v>
      </c>
      <c r="AO14" s="23" t="e">
        <f>AK14+AL14+AM14</f>
        <v>#DIV/0!</v>
      </c>
    </row>
    <row r="15" spans="1:41" ht="15" thickBot="1">
      <c r="B15" s="81" t="s">
        <v>14</v>
      </c>
      <c r="C15" s="81"/>
      <c r="D15" s="81"/>
      <c r="E15" s="81"/>
      <c r="F15" s="81"/>
      <c r="G15" s="81"/>
      <c r="H15" s="74">
        <f>SUM(H14:H14)</f>
        <v>1200</v>
      </c>
      <c r="I15" s="5"/>
      <c r="J15" s="5"/>
      <c r="K15" s="5"/>
      <c r="L15" s="5"/>
      <c r="M15" s="5"/>
      <c r="N15" s="5"/>
      <c r="O15" s="5"/>
      <c r="P15" s="5"/>
      <c r="Q15" s="5"/>
      <c r="R15" s="7">
        <f t="shared" ref="R15:AB15" si="1">SUM(R14:R14)</f>
        <v>0</v>
      </c>
      <c r="S15" s="7">
        <f t="shared" si="1"/>
        <v>1200</v>
      </c>
      <c r="T15" s="7"/>
      <c r="U15" s="7"/>
      <c r="V15" s="48">
        <f t="shared" si="1"/>
        <v>30</v>
      </c>
      <c r="W15" s="48">
        <f t="shared" si="1"/>
        <v>30</v>
      </c>
      <c r="X15" s="48">
        <f t="shared" si="1"/>
        <v>0</v>
      </c>
      <c r="Y15" s="7">
        <f t="shared" si="1"/>
        <v>60</v>
      </c>
      <c r="Z15" s="18">
        <f t="shared" si="1"/>
        <v>1260</v>
      </c>
      <c r="AA15" s="69">
        <f t="shared" si="1"/>
        <v>200</v>
      </c>
      <c r="AB15" s="69" t="e">
        <f t="shared" si="1"/>
        <v>#DIV/0!</v>
      </c>
      <c r="AC15" s="18"/>
      <c r="AD15" s="69" t="e">
        <f>SUM(AD14:AD14)</f>
        <v>#DIV/0!</v>
      </c>
      <c r="AE15" s="69" t="e">
        <f>SUM(AE14:AE14)</f>
        <v>#DIV/0!</v>
      </c>
      <c r="AF15" s="69">
        <f>SUM(AF14:AF14)</f>
        <v>0</v>
      </c>
      <c r="AG15" s="69" t="e">
        <f>SUM(AG14:AG14)</f>
        <v>#DIV/0!</v>
      </c>
      <c r="AH15" s="69">
        <f>SUM(AH14:AH14)</f>
        <v>0</v>
      </c>
      <c r="AI15" s="18"/>
      <c r="AJ15" s="18"/>
      <c r="AK15" s="18"/>
      <c r="AL15" s="18"/>
      <c r="AM15" s="18"/>
      <c r="AN15" s="18"/>
      <c r="AO15" s="18"/>
    </row>
    <row r="16" spans="1:41">
      <c r="A16" s="40" t="s">
        <v>66</v>
      </c>
      <c r="B16" s="41"/>
      <c r="C16" s="41"/>
      <c r="D16" s="41"/>
      <c r="E16" s="41"/>
      <c r="F16" s="41"/>
      <c r="G16" s="41"/>
      <c r="H16" s="40"/>
      <c r="I16" s="57"/>
      <c r="J16" s="57"/>
      <c r="K16" s="57"/>
      <c r="L16" s="57"/>
      <c r="M16" s="57"/>
      <c r="N16" s="57"/>
      <c r="O16" s="57"/>
      <c r="P16" s="57"/>
      <c r="Q16" s="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>
      <c r="A17" s="82" t="s">
        <v>16</v>
      </c>
      <c r="B17" s="82"/>
      <c r="C17" s="42">
        <v>1</v>
      </c>
      <c r="D17" s="43" t="s">
        <v>17</v>
      </c>
      <c r="E17" s="41"/>
      <c r="F17" s="41"/>
      <c r="G17" s="41"/>
      <c r="H17" s="40"/>
      <c r="I17" s="57" t="s">
        <v>18</v>
      </c>
      <c r="J17" s="57" t="s">
        <v>19</v>
      </c>
      <c r="K17" s="57"/>
      <c r="L17" s="57" t="s">
        <v>20</v>
      </c>
      <c r="M17" s="57">
        <v>1</v>
      </c>
      <c r="N17" s="57"/>
      <c r="O17" s="57" t="s">
        <v>21</v>
      </c>
      <c r="P17" s="57">
        <v>2</v>
      </c>
      <c r="Q17" s="57" t="s">
        <v>22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43.5" thickBot="1">
      <c r="A18" s="44" t="s">
        <v>2</v>
      </c>
      <c r="B18" s="44" t="s">
        <v>3</v>
      </c>
      <c r="C18" s="45" t="s">
        <v>4</v>
      </c>
      <c r="D18" s="44" t="s">
        <v>5</v>
      </c>
      <c r="E18" s="44" t="s">
        <v>6</v>
      </c>
      <c r="F18" s="46" t="s">
        <v>23</v>
      </c>
      <c r="G18" s="44" t="s">
        <v>8</v>
      </c>
      <c r="H18" s="44" t="s">
        <v>9</v>
      </c>
      <c r="I18" s="58" t="s">
        <v>24</v>
      </c>
      <c r="J18" s="58" t="s">
        <v>25</v>
      </c>
      <c r="K18" s="58" t="s">
        <v>26</v>
      </c>
      <c r="L18" s="59" t="s">
        <v>27</v>
      </c>
      <c r="M18" s="59" t="s">
        <v>28</v>
      </c>
      <c r="N18" s="59" t="s">
        <v>29</v>
      </c>
      <c r="O18" s="59" t="s">
        <v>30</v>
      </c>
      <c r="P18" s="59" t="s">
        <v>31</v>
      </c>
      <c r="Q18" s="59" t="s">
        <v>32</v>
      </c>
      <c r="R18" s="58" t="s">
        <v>33</v>
      </c>
      <c r="S18" s="44" t="s">
        <v>34</v>
      </c>
      <c r="T18" s="44" t="s">
        <v>35</v>
      </c>
      <c r="U18" s="63" t="s">
        <v>36</v>
      </c>
      <c r="V18" s="63" t="s">
        <v>37</v>
      </c>
      <c r="W18" s="63" t="s">
        <v>38</v>
      </c>
      <c r="X18" s="63" t="s">
        <v>39</v>
      </c>
      <c r="Y18" s="63" t="s">
        <v>40</v>
      </c>
      <c r="Z18" s="67" t="s">
        <v>41</v>
      </c>
      <c r="AA18" s="67" t="s">
        <v>42</v>
      </c>
      <c r="AB18" s="68" t="s">
        <v>43</v>
      </c>
      <c r="AC18" s="68" t="s">
        <v>44</v>
      </c>
      <c r="AD18" s="68" t="s">
        <v>45</v>
      </c>
      <c r="AE18" s="67" t="s">
        <v>46</v>
      </c>
      <c r="AF18" s="67" t="s">
        <v>47</v>
      </c>
      <c r="AG18" s="68" t="s">
        <v>48</v>
      </c>
      <c r="AH18" s="68" t="s">
        <v>49</v>
      </c>
      <c r="AI18" s="67" t="s">
        <v>50</v>
      </c>
      <c r="AJ18" s="67" t="s">
        <v>51</v>
      </c>
      <c r="AK18" s="68" t="s">
        <v>52</v>
      </c>
      <c r="AL18" s="68" t="s">
        <v>53</v>
      </c>
      <c r="AM18" s="68" t="s">
        <v>54</v>
      </c>
      <c r="AN18" s="67" t="s">
        <v>55</v>
      </c>
      <c r="AO18" s="70" t="s">
        <v>56</v>
      </c>
    </row>
    <row r="19" spans="1:41" ht="15.75" thickBot="1">
      <c r="A19" s="5">
        <v>1</v>
      </c>
      <c r="B19" s="75" t="s">
        <v>10</v>
      </c>
      <c r="C19" s="5" t="s">
        <v>11</v>
      </c>
      <c r="D19" s="5" t="s">
        <v>12</v>
      </c>
      <c r="E19" s="5" t="s">
        <v>12</v>
      </c>
      <c r="F19" s="47">
        <v>5</v>
      </c>
      <c r="G19" s="23">
        <v>150</v>
      </c>
      <c r="H19" s="72">
        <f>F19*G19</f>
        <v>750</v>
      </c>
      <c r="I19" s="72">
        <v>5</v>
      </c>
      <c r="J19" s="72">
        <v>6</v>
      </c>
      <c r="K19" s="72">
        <v>7</v>
      </c>
      <c r="L19" s="72">
        <f>H19</f>
        <v>750</v>
      </c>
      <c r="M19" s="72">
        <f>ROUND((L19*I19)/100,2)</f>
        <v>37.5</v>
      </c>
      <c r="N19" s="72">
        <f>H19-M19</f>
        <v>712.5</v>
      </c>
      <c r="O19" s="72">
        <f>ROUND((N19*J19)/100,2)</f>
        <v>42.75</v>
      </c>
      <c r="P19" s="72">
        <f>ROUND(N19-O19,2)</f>
        <v>669.75</v>
      </c>
      <c r="Q19" s="72">
        <f>ROUND((P19*K19)/100,2)</f>
        <v>46.88</v>
      </c>
      <c r="R19" s="23">
        <f>M19+O19+Q19</f>
        <v>127.13</v>
      </c>
      <c r="S19" s="72">
        <f>(H19-R19)</f>
        <v>622.87</v>
      </c>
      <c r="T19" s="23" t="s">
        <v>57</v>
      </c>
      <c r="U19" s="72">
        <v>5</v>
      </c>
      <c r="V19" s="72">
        <f>IF($C$17=1,ROUND(((S19*(U19/100))/2),2),0)</f>
        <v>15.57</v>
      </c>
      <c r="W19" s="23">
        <f>IF($C$17=1,ROUND(((S19*(U19/100))/2),2),0)</f>
        <v>15.57</v>
      </c>
      <c r="X19" s="23">
        <f>IF($C$17=2,ROUND(((S19*U19)),2),0)</f>
        <v>0</v>
      </c>
      <c r="Y19" s="23">
        <f>V19+W19+X19</f>
        <v>31.14</v>
      </c>
      <c r="Z19" s="23">
        <f>S19+Y19</f>
        <v>654.01</v>
      </c>
      <c r="AA19" s="23">
        <v>120</v>
      </c>
      <c r="AB19" s="23" t="e">
        <f>IF($P$2=1,(S19/$S$5)*#REF!,AA19/$AA$5*#REF!)</f>
        <v>#DIV/0!</v>
      </c>
      <c r="AC19" s="23"/>
      <c r="AD19" s="23" t="e">
        <f>IF($P$2=1,(S19/$S$5)*#REF!,AA19/$AA$5*#REF!)</f>
        <v>#DIV/0!</v>
      </c>
      <c r="AE19" s="23" t="e">
        <f>IF($P$2=1,(S19/$S$5)*#REF!,AA19/$AA$5*#REF!)</f>
        <v>#DIV/0!</v>
      </c>
      <c r="AF19" s="23">
        <f>S19*$M$2</f>
        <v>0</v>
      </c>
      <c r="AG19" s="23" t="e">
        <f>IF($C$2=3,0,AD19+AE19)</f>
        <v>#DIV/0!</v>
      </c>
      <c r="AH19" s="23">
        <f>IF($C$2=3,AB19+AD19+AE19,0)</f>
        <v>0</v>
      </c>
      <c r="AI19" s="47">
        <v>1</v>
      </c>
      <c r="AJ19" s="23">
        <f>F19/AI19</f>
        <v>5</v>
      </c>
      <c r="AK19" s="23">
        <f>AF19/AJ19</f>
        <v>0</v>
      </c>
      <c r="AL19" s="23" t="e">
        <f>AG19/AJ19</f>
        <v>#DIV/0!</v>
      </c>
      <c r="AM19" s="23">
        <f>AH19/AJ19</f>
        <v>0</v>
      </c>
      <c r="AN19" s="23" t="s">
        <v>12</v>
      </c>
      <c r="AO19" s="23" t="e">
        <f>AK19+AL19+AM19</f>
        <v>#DIV/0!</v>
      </c>
    </row>
    <row r="20" spans="1:41" ht="15.75" thickBot="1">
      <c r="A20" s="5">
        <v>2</v>
      </c>
      <c r="B20" s="75" t="s">
        <v>13</v>
      </c>
      <c r="C20" s="5" t="s">
        <v>13</v>
      </c>
      <c r="D20" s="5" t="s">
        <v>12</v>
      </c>
      <c r="E20" s="5" t="s">
        <v>12</v>
      </c>
      <c r="F20" s="47">
        <v>6</v>
      </c>
      <c r="G20" s="23">
        <v>200</v>
      </c>
      <c r="H20" s="72">
        <f>F20*G20</f>
        <v>1200</v>
      </c>
      <c r="I20" s="72">
        <v>0</v>
      </c>
      <c r="J20" s="72">
        <v>0</v>
      </c>
      <c r="K20" s="72">
        <v>0</v>
      </c>
      <c r="L20" s="72">
        <f>H20</f>
        <v>1200</v>
      </c>
      <c r="M20" s="72">
        <f>ROUND((L20*I20)/100,2)</f>
        <v>0</v>
      </c>
      <c r="N20" s="72">
        <f>H20-M20</f>
        <v>1200</v>
      </c>
      <c r="O20" s="72">
        <f>ROUND((N20*J20)/100,2)</f>
        <v>0</v>
      </c>
      <c r="P20" s="72">
        <f>ROUND(N20-O20,2)</f>
        <v>1200</v>
      </c>
      <c r="Q20" s="72">
        <f>ROUND((P20*K20)/100,2)</f>
        <v>0</v>
      </c>
      <c r="R20" s="23">
        <f>M20+O20+Q20</f>
        <v>0</v>
      </c>
      <c r="S20" s="72">
        <f>(H20-R20)</f>
        <v>1200</v>
      </c>
      <c r="T20" s="23" t="s">
        <v>57</v>
      </c>
      <c r="U20" s="72">
        <v>5</v>
      </c>
      <c r="V20" s="72">
        <f>IF($C$17=1,ROUND(((S20*(U20/100))/2),2),0)</f>
        <v>30</v>
      </c>
      <c r="W20" s="23">
        <f>IF($C$17=1,ROUND(((S20*(U20/100))/2),2),0)</f>
        <v>30</v>
      </c>
      <c r="X20" s="23">
        <f>IF($C$17=2,ROUND(((S20*U20)),2),0)</f>
        <v>0</v>
      </c>
      <c r="Y20" s="23">
        <f>V20+W20+X20</f>
        <v>60</v>
      </c>
      <c r="Z20" s="23">
        <f>S20+Y20</f>
        <v>1260</v>
      </c>
      <c r="AA20" s="23">
        <v>200</v>
      </c>
      <c r="AB20" s="23" t="e">
        <f>IF($P$2=1,(S20/$S$5)*#REF!,AA20/$AA$5*#REF!)</f>
        <v>#DIV/0!</v>
      </c>
      <c r="AC20" s="23"/>
      <c r="AD20" s="23" t="e">
        <f>IF($P$2=1,(S20/$S$5)*#REF!,AA20/$AA$5*#REF!)</f>
        <v>#DIV/0!</v>
      </c>
      <c r="AE20" s="23" t="e">
        <f>IF($P$2=1,(S20/$S$5)*#REF!,AA20/$AA$5*#REF!)</f>
        <v>#DIV/0!</v>
      </c>
      <c r="AF20" s="23">
        <f>S20*$M$2</f>
        <v>0</v>
      </c>
      <c r="AG20" s="23" t="e">
        <f>IF($C$2=3,0,AD20+AE20)</f>
        <v>#DIV/0!</v>
      </c>
      <c r="AH20" s="23">
        <f>IF($C$2=3,AB20+AD20+AE20,0)</f>
        <v>0</v>
      </c>
      <c r="AI20" s="47">
        <v>1</v>
      </c>
      <c r="AJ20" s="23">
        <f>F20/AI20</f>
        <v>6</v>
      </c>
      <c r="AK20" s="23">
        <f>AF20/AJ20</f>
        <v>0</v>
      </c>
      <c r="AL20" s="23" t="e">
        <f>AG20/AJ20</f>
        <v>#DIV/0!</v>
      </c>
      <c r="AM20" s="23">
        <f>AH20/AJ20</f>
        <v>0</v>
      </c>
      <c r="AN20" s="23" t="s">
        <v>12</v>
      </c>
      <c r="AO20" s="23" t="e">
        <f>AK20+AL20+AM20</f>
        <v>#DIV/0!</v>
      </c>
    </row>
    <row r="21" spans="1:41" ht="15" thickBot="1">
      <c r="B21" s="81" t="s">
        <v>14</v>
      </c>
      <c r="C21" s="81"/>
      <c r="D21" s="81"/>
      <c r="E21" s="81"/>
      <c r="F21" s="81"/>
      <c r="G21" s="81"/>
      <c r="H21" s="74">
        <f>SUM(H19:H20)</f>
        <v>1950</v>
      </c>
      <c r="I21" s="5"/>
      <c r="J21" s="5"/>
      <c r="K21" s="5"/>
      <c r="L21" s="5"/>
      <c r="M21" s="5"/>
      <c r="N21" s="5"/>
      <c r="O21" s="5"/>
      <c r="P21" s="5"/>
      <c r="Q21" s="72">
        <f>ROUND((P21*K21)/100,2)</f>
        <v>0</v>
      </c>
      <c r="R21" s="7">
        <f t="shared" ref="R21:AB21" si="2">SUM(R19:R20)</f>
        <v>127.13</v>
      </c>
      <c r="S21" s="7">
        <f t="shared" si="2"/>
        <v>1822.87</v>
      </c>
      <c r="T21" s="7"/>
      <c r="U21" s="7"/>
      <c r="V21" s="48">
        <f t="shared" si="2"/>
        <v>45.57</v>
      </c>
      <c r="W21" s="48">
        <f t="shared" si="2"/>
        <v>45.57</v>
      </c>
      <c r="X21" s="48">
        <f t="shared" si="2"/>
        <v>0</v>
      </c>
      <c r="Y21" s="7">
        <f t="shared" si="2"/>
        <v>91.14</v>
      </c>
      <c r="Z21" s="18">
        <f t="shared" si="2"/>
        <v>1914.01</v>
      </c>
      <c r="AA21" s="69">
        <f t="shared" si="2"/>
        <v>320</v>
      </c>
      <c r="AB21" s="69" t="e">
        <f t="shared" si="2"/>
        <v>#DIV/0!</v>
      </c>
      <c r="AC21" s="18"/>
      <c r="AD21" s="69" t="e">
        <f t="shared" ref="AD21:AH21" si="3">SUM(AD19:AD20)</f>
        <v>#DIV/0!</v>
      </c>
      <c r="AE21" s="69" t="e">
        <f t="shared" si="3"/>
        <v>#DIV/0!</v>
      </c>
      <c r="AF21" s="69">
        <f t="shared" si="3"/>
        <v>0</v>
      </c>
      <c r="AG21" s="69" t="e">
        <f t="shared" si="3"/>
        <v>#DIV/0!</v>
      </c>
      <c r="AH21" s="69">
        <f t="shared" si="3"/>
        <v>0</v>
      </c>
      <c r="AI21" s="18"/>
      <c r="AJ21" s="18"/>
      <c r="AK21" s="18"/>
      <c r="AL21" s="18"/>
      <c r="AM21" s="18"/>
      <c r="AN21" s="18"/>
      <c r="AO21" s="18"/>
    </row>
  </sheetData>
  <mergeCells count="8">
    <mergeCell ref="A17:B17"/>
    <mergeCell ref="B21:G21"/>
    <mergeCell ref="A1:Z1"/>
    <mergeCell ref="B5:G5"/>
    <mergeCell ref="A7:B7"/>
    <mergeCell ref="B10:G10"/>
    <mergeCell ref="A12:B12"/>
    <mergeCell ref="B15:G1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activeCell="V5" sqref="V5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 ht="15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5" t="s">
        <v>13</v>
      </c>
      <c r="C5" s="5" t="s">
        <v>13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3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 ht="15">
      <c r="A10" s="5">
        <v>1</v>
      </c>
      <c r="B10" s="75" t="s">
        <v>10</v>
      </c>
      <c r="C10" s="5" t="s">
        <v>11</v>
      </c>
      <c r="D10" s="5" t="s">
        <v>12</v>
      </c>
      <c r="E10" s="5" t="s">
        <v>12</v>
      </c>
      <c r="F10" s="47">
        <v>5</v>
      </c>
      <c r="G10" s="23">
        <v>150</v>
      </c>
      <c r="H10" s="72">
        <f>F10*G10</f>
        <v>750</v>
      </c>
      <c r="I10" s="72">
        <v>5</v>
      </c>
      <c r="J10" s="72">
        <v>6</v>
      </c>
      <c r="K10" s="72">
        <v>7</v>
      </c>
      <c r="L10" s="72">
        <f>H10</f>
        <v>750</v>
      </c>
      <c r="M10" s="72">
        <f>ROUND((L10*I10)/100,2)</f>
        <v>37.5</v>
      </c>
      <c r="N10" s="72">
        <f>H10-M10</f>
        <v>712.5</v>
      </c>
      <c r="O10" s="72">
        <f>ROUND((N10*J10)/100,2)</f>
        <v>42.75</v>
      </c>
      <c r="P10" s="72">
        <f>ROUND(N10-O10,2)</f>
        <v>669.75</v>
      </c>
      <c r="Q10" s="72">
        <f>ROUND((P10*K10)/100,2)</f>
        <v>46.88</v>
      </c>
      <c r="R10" s="23">
        <f>M10+O10+Q10</f>
        <v>127.13</v>
      </c>
      <c r="S10" s="23">
        <f>(H10-R10)</f>
        <v>622.87</v>
      </c>
      <c r="T10" s="23" t="s">
        <v>57</v>
      </c>
      <c r="U10" s="72">
        <v>0</v>
      </c>
      <c r="V10" s="72">
        <f>IF($C$8=1,ROUND(((S10*(U10/100))/2),2),0)</f>
        <v>0</v>
      </c>
      <c r="W10" s="72">
        <f>IF($C$8=1,ROUND(((S10*(U10/100))/2),2),0)</f>
        <v>0</v>
      </c>
      <c r="X10" s="72">
        <f>IF($C$8=2,ROUND(((S10*U10)),2),0)</f>
        <v>0</v>
      </c>
      <c r="Y10" s="72">
        <f>V10+W10+X10</f>
        <v>0</v>
      </c>
      <c r="Z10" s="23">
        <f>S10+Y10</f>
        <v>622.87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622.87</v>
      </c>
      <c r="AG10" s="23">
        <f>IF($C$8=3,0,AD10+AE10)</f>
        <v>0</v>
      </c>
      <c r="AH10" s="23" t="e">
        <f>IF($C$8=3,AB10+AD10+AE10,0)</f>
        <v>#REF!</v>
      </c>
      <c r="AI10" s="47">
        <v>1</v>
      </c>
      <c r="AJ10" s="23">
        <f>F10/AI10</f>
        <v>5</v>
      </c>
      <c r="AK10" s="23">
        <f>AF10/AJ10</f>
        <v>124.574</v>
      </c>
      <c r="AL10" s="23">
        <f>AG10/AJ10</f>
        <v>0</v>
      </c>
      <c r="AM10" s="23" t="e">
        <f>AH10/AJ10</f>
        <v>#REF!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5" t="s">
        <v>13</v>
      </c>
      <c r="C11" s="5" t="s">
        <v>13</v>
      </c>
      <c r="D11" s="5" t="s">
        <v>12</v>
      </c>
      <c r="E11" s="5" t="s">
        <v>12</v>
      </c>
      <c r="F11" s="47">
        <v>6</v>
      </c>
      <c r="G11" s="23">
        <v>200</v>
      </c>
      <c r="H11" s="72">
        <f>F11*G11</f>
        <v>1200</v>
      </c>
      <c r="I11" s="72">
        <v>5</v>
      </c>
      <c r="J11" s="72">
        <v>2</v>
      </c>
      <c r="K11" s="72">
        <v>1</v>
      </c>
      <c r="L11" s="72">
        <f>H11</f>
        <v>1200</v>
      </c>
      <c r="M11" s="72">
        <f>ROUND((L11*I11)/100,2)</f>
        <v>60</v>
      </c>
      <c r="N11" s="72">
        <f>H11-M11</f>
        <v>1140</v>
      </c>
      <c r="O11" s="72">
        <f>ROUND((N11*J11)/100,2)</f>
        <v>22.8</v>
      </c>
      <c r="P11" s="72">
        <f>ROUND(N11-O11,2)</f>
        <v>1117.2</v>
      </c>
      <c r="Q11" s="72">
        <f>ROUND((P11*K11)/100,2)</f>
        <v>11.17</v>
      </c>
      <c r="R11" s="23">
        <f>M11+O11+Q11</f>
        <v>93.97</v>
      </c>
      <c r="S11" s="23">
        <f>(H11-R11)</f>
        <v>1106.03</v>
      </c>
      <c r="T11" s="23" t="s">
        <v>57</v>
      </c>
      <c r="U11" s="72">
        <v>0</v>
      </c>
      <c r="V11" s="72">
        <f>IF($C$8=1,ROUND(((S11*(U11/100))/2),2),0)</f>
        <v>0</v>
      </c>
      <c r="W11" s="72">
        <f>IF($C$8=1,ROUND(((S11*(U11/100))/2),2),0)</f>
        <v>0</v>
      </c>
      <c r="X11" s="72">
        <f>IF($C$8=2,ROUND(((S11*U11)),2),0)</f>
        <v>0</v>
      </c>
      <c r="Y11" s="72">
        <f>V11+W11+X11</f>
        <v>0</v>
      </c>
      <c r="Z11" s="23">
        <f>S11+Y11</f>
        <v>1106.03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1106.03</v>
      </c>
      <c r="AG11" s="23">
        <f>IF($C$8=3,0,AD11+AE11)</f>
        <v>0</v>
      </c>
      <c r="AH11" s="23" t="e">
        <f>IF($C$8=3,AB11+AD11+AE11,0)</f>
        <v>#REF!</v>
      </c>
      <c r="AI11" s="47">
        <v>1</v>
      </c>
      <c r="AJ11" s="23">
        <f>F11/AI11</f>
        <v>6</v>
      </c>
      <c r="AK11" s="23">
        <f>AF11/AJ11</f>
        <v>184.338333333333</v>
      </c>
      <c r="AL11" s="23">
        <f>AG11/AJ11</f>
        <v>0</v>
      </c>
      <c r="AM11" s="23" t="e">
        <f>AH11/AJ11</f>
        <v>#REF!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1950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221.1</v>
      </c>
      <c r="S12" s="7">
        <f t="shared" si="0"/>
        <v>1728.9</v>
      </c>
      <c r="T12" s="7"/>
      <c r="U12" s="7"/>
      <c r="V12" s="48">
        <f t="shared" si="0"/>
        <v>0</v>
      </c>
      <c r="W12" s="48">
        <f t="shared" si="0"/>
        <v>0</v>
      </c>
      <c r="X12" s="48">
        <f t="shared" si="0"/>
        <v>0</v>
      </c>
      <c r="Y12" s="7">
        <f t="shared" si="0"/>
        <v>0</v>
      </c>
      <c r="Z12" s="18">
        <f t="shared" si="0"/>
        <v>1728.9</v>
      </c>
      <c r="AA12" s="69">
        <f t="shared" si="0"/>
        <v>320</v>
      </c>
      <c r="AB12" s="69" t="e">
        <f t="shared" si="0"/>
        <v>#REF!</v>
      </c>
      <c r="AC12" s="18"/>
      <c r="AD12" s="69" t="e">
        <f t="shared" ref="AD12:AH12" si="1">SUM(AD10:AD11)</f>
        <v>#REF!</v>
      </c>
      <c r="AE12" s="69" t="e">
        <f t="shared" si="1"/>
        <v>#REF!</v>
      </c>
      <c r="AF12" s="69">
        <f t="shared" si="1"/>
        <v>1728.9</v>
      </c>
      <c r="AG12" s="69">
        <f t="shared" si="1"/>
        <v>0</v>
      </c>
      <c r="AH12" s="69" t="e">
        <f t="shared" si="1"/>
        <v>#REF!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activeCell="F10" sqref="F10:G11"/>
    </sheetView>
  </sheetViews>
  <sheetFormatPr defaultColWidth="9.140625" defaultRowHeight="14.25"/>
  <cols>
    <col min="1" max="1" width="8" style="2" customWidth="1"/>
    <col min="2" max="2" width="27.5703125" style="2" customWidth="1"/>
    <col min="3" max="3" width="33.140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58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3" t="s">
        <v>61</v>
      </c>
      <c r="C5" s="73" t="s">
        <v>61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1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>
      <c r="A10" s="5">
        <v>1</v>
      </c>
      <c r="B10" s="71" t="s">
        <v>59</v>
      </c>
      <c r="C10" s="71" t="s">
        <v>60</v>
      </c>
      <c r="D10" s="5" t="s">
        <v>12</v>
      </c>
      <c r="E10" s="5" t="s">
        <v>12</v>
      </c>
      <c r="F10" s="47">
        <f>ROUND(F4*AI10,2)</f>
        <v>30</v>
      </c>
      <c r="G10" s="23">
        <f>ROUND(G4/AI10,2)</f>
        <v>25</v>
      </c>
      <c r="H10" s="72">
        <f>F10*G10</f>
        <v>750</v>
      </c>
      <c r="I10" s="72">
        <v>5</v>
      </c>
      <c r="J10" s="72">
        <v>6</v>
      </c>
      <c r="K10" s="72">
        <v>7</v>
      </c>
      <c r="L10" s="72">
        <f>H10</f>
        <v>750</v>
      </c>
      <c r="M10" s="72">
        <f>ROUND((L10*I10)/100,2)</f>
        <v>37.5</v>
      </c>
      <c r="N10" s="72">
        <f>H10-M10</f>
        <v>712.5</v>
      </c>
      <c r="O10" s="72">
        <f>ROUND((N10*J10)/100,2)</f>
        <v>42.75</v>
      </c>
      <c r="P10" s="72">
        <f>ROUND(N10-O10,2)</f>
        <v>669.75</v>
      </c>
      <c r="Q10" s="72">
        <f>ROUND((P10*K10)/100,2)</f>
        <v>46.88</v>
      </c>
      <c r="R10" s="23">
        <f>M10+O10+Q10</f>
        <v>127.13</v>
      </c>
      <c r="S10" s="23">
        <f>(H10-R10)</f>
        <v>622.87</v>
      </c>
      <c r="T10" s="23" t="s">
        <v>57</v>
      </c>
      <c r="U10" s="72">
        <v>0</v>
      </c>
      <c r="V10" s="72">
        <f>IF($C$8=1,ROUND(((S10*(U10/100))/2),2),0)</f>
        <v>0</v>
      </c>
      <c r="W10" s="72">
        <f>IF($C$8=1,ROUND(((S10*(U10/100))/2),2),0)</f>
        <v>0</v>
      </c>
      <c r="X10" s="72">
        <f>IF($C$8=2,ROUND(((S10*U10)),2),0)</f>
        <v>0</v>
      </c>
      <c r="Y10" s="72">
        <f>V10+W10+X10</f>
        <v>0</v>
      </c>
      <c r="Z10" s="23">
        <f>S10+Y10</f>
        <v>622.87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622.87</v>
      </c>
      <c r="AG10" s="23" t="e">
        <f>IF($C$8=3,0,AD10+AE10)</f>
        <v>#REF!</v>
      </c>
      <c r="AH10" s="23">
        <f>IF($C$8=3,AB10+AD10+AE10,0)</f>
        <v>0</v>
      </c>
      <c r="AI10" s="47">
        <v>6</v>
      </c>
      <c r="AJ10" s="23">
        <f>F10/AI10</f>
        <v>5</v>
      </c>
      <c r="AK10" s="23">
        <f>AF10/AJ10</f>
        <v>124.574</v>
      </c>
      <c r="AL10" s="23" t="e">
        <f>AG10/AJ10</f>
        <v>#REF!</v>
      </c>
      <c r="AM10" s="23">
        <f>AH10/AJ10</f>
        <v>0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3" t="s">
        <v>61</v>
      </c>
      <c r="C11" s="73" t="s">
        <v>61</v>
      </c>
      <c r="D11" s="5" t="s">
        <v>12</v>
      </c>
      <c r="E11" s="5" t="s">
        <v>12</v>
      </c>
      <c r="F11" s="47">
        <f>ROUND(F5*AI11,2)</f>
        <v>36</v>
      </c>
      <c r="G11" s="23">
        <f>ROUND(G5/AI11,2)</f>
        <v>33.33</v>
      </c>
      <c r="H11" s="72">
        <f>F11*G11</f>
        <v>1199.8800000000001</v>
      </c>
      <c r="I11" s="72">
        <v>5</v>
      </c>
      <c r="J11" s="72">
        <v>2</v>
      </c>
      <c r="K11" s="72">
        <v>1</v>
      </c>
      <c r="L11" s="72">
        <f>H11</f>
        <v>1199.8800000000001</v>
      </c>
      <c r="M11" s="72">
        <f>ROUND((L11*I11)/100,2)</f>
        <v>59.99</v>
      </c>
      <c r="N11" s="72">
        <f>H11-M11</f>
        <v>1139.8900000000001</v>
      </c>
      <c r="O11" s="72">
        <f>ROUND((N11*J11)/100,2)</f>
        <v>22.8</v>
      </c>
      <c r="P11" s="72">
        <f>ROUND(N11-O11,2)</f>
        <v>1117.0899999999999</v>
      </c>
      <c r="Q11" s="72">
        <f>ROUND((P11*K11)/100,2)</f>
        <v>11.17</v>
      </c>
      <c r="R11" s="23">
        <f>M11+O11+Q11</f>
        <v>93.96</v>
      </c>
      <c r="S11" s="23">
        <f>(H11-R11)</f>
        <v>1105.92</v>
      </c>
      <c r="T11" s="23" t="s">
        <v>57</v>
      </c>
      <c r="U11" s="72">
        <v>0</v>
      </c>
      <c r="V11" s="72">
        <f>IF($C$8=1,ROUND(((S11*(U11/100))/2),2),0)</f>
        <v>0</v>
      </c>
      <c r="W11" s="72">
        <f>IF($C$8=1,ROUND(((S11*(U11/100))/2),2),0)</f>
        <v>0</v>
      </c>
      <c r="X11" s="72">
        <f>IF($C$8=2,ROUND(((S11*U11)),2),0)</f>
        <v>0</v>
      </c>
      <c r="Y11" s="72">
        <f>V11+W11+X11</f>
        <v>0</v>
      </c>
      <c r="Z11" s="23">
        <f>S11+Y11</f>
        <v>1105.92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1105.92</v>
      </c>
      <c r="AG11" s="23" t="e">
        <f>IF($C$8=3,0,AD11+AE11)</f>
        <v>#REF!</v>
      </c>
      <c r="AH11" s="23">
        <f>IF($C$8=3,AB11+AD11+AE11,0)</f>
        <v>0</v>
      </c>
      <c r="AI11" s="47">
        <v>6</v>
      </c>
      <c r="AJ11" s="23">
        <f>F11/AI11</f>
        <v>6</v>
      </c>
      <c r="AK11" s="23">
        <f>AF11/AJ11</f>
        <v>184.32</v>
      </c>
      <c r="AL11" s="23" t="e">
        <f>AG11/AJ11</f>
        <v>#REF!</v>
      </c>
      <c r="AM11" s="23">
        <f>AH11/AJ11</f>
        <v>0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1949.88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221.09</v>
      </c>
      <c r="S12" s="7">
        <f t="shared" si="0"/>
        <v>1728.79</v>
      </c>
      <c r="T12" s="7"/>
      <c r="U12" s="7"/>
      <c r="V12" s="48">
        <f t="shared" si="0"/>
        <v>0</v>
      </c>
      <c r="W12" s="48">
        <f t="shared" si="0"/>
        <v>0</v>
      </c>
      <c r="X12" s="48">
        <f t="shared" si="0"/>
        <v>0</v>
      </c>
      <c r="Y12" s="7">
        <f t="shared" si="0"/>
        <v>0</v>
      </c>
      <c r="Z12" s="18">
        <f t="shared" si="0"/>
        <v>1728.79</v>
      </c>
      <c r="AA12" s="69">
        <f t="shared" si="0"/>
        <v>320</v>
      </c>
      <c r="AB12" s="69" t="e">
        <f t="shared" si="0"/>
        <v>#REF!</v>
      </c>
      <c r="AC12" s="18"/>
      <c r="AD12" s="69" t="e">
        <f t="shared" ref="AD12:AH12" si="1">SUM(AD10:AD11)</f>
        <v>#REF!</v>
      </c>
      <c r="AE12" s="69" t="e">
        <f t="shared" si="1"/>
        <v>#REF!</v>
      </c>
      <c r="AF12" s="69">
        <f t="shared" si="1"/>
        <v>1728.79</v>
      </c>
      <c r="AG12" s="69" t="e">
        <f t="shared" si="1"/>
        <v>#REF!</v>
      </c>
      <c r="AH12" s="69">
        <f t="shared" si="1"/>
        <v>0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activeCell="L12" sqref="L12"/>
    </sheetView>
  </sheetViews>
  <sheetFormatPr defaultColWidth="9.140625" defaultRowHeight="14.25"/>
  <cols>
    <col min="1" max="1" width="8" style="2" customWidth="1"/>
    <col min="2" max="2" width="21" style="2" customWidth="1"/>
    <col min="3" max="3" width="29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3" t="s">
        <v>64</v>
      </c>
      <c r="C5" s="73" t="s">
        <v>64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1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>
      <c r="A10" s="5">
        <v>1</v>
      </c>
      <c r="B10" s="71" t="s">
        <v>62</v>
      </c>
      <c r="C10" s="71" t="s">
        <v>63</v>
      </c>
      <c r="D10" s="5" t="s">
        <v>12</v>
      </c>
      <c r="E10" s="5" t="s">
        <v>12</v>
      </c>
      <c r="F10" s="47">
        <v>5</v>
      </c>
      <c r="G10" s="23">
        <v>150</v>
      </c>
      <c r="H10" s="72">
        <f>F10*G10</f>
        <v>750</v>
      </c>
      <c r="I10" s="72">
        <v>0</v>
      </c>
      <c r="J10" s="72">
        <v>0</v>
      </c>
      <c r="K10" s="72">
        <v>0</v>
      </c>
      <c r="L10" s="72">
        <f>H10</f>
        <v>750</v>
      </c>
      <c r="M10" s="72">
        <f>ROUND((L10*I10)/100,2)</f>
        <v>0</v>
      </c>
      <c r="N10" s="72">
        <f>H10-M10</f>
        <v>750</v>
      </c>
      <c r="O10" s="72">
        <f>ROUND((N10*J10)/100,2)</f>
        <v>0</v>
      </c>
      <c r="P10" s="72">
        <f>ROUND(N10-O10,2)</f>
        <v>750</v>
      </c>
      <c r="Q10" s="72">
        <f>ROUND((P10*K10)/100,2)</f>
        <v>0</v>
      </c>
      <c r="R10" s="23">
        <f>M10+O10+Q10</f>
        <v>0</v>
      </c>
      <c r="S10" s="23">
        <f>(H10-R10)</f>
        <v>750</v>
      </c>
      <c r="T10" s="23" t="s">
        <v>57</v>
      </c>
      <c r="U10" s="72">
        <v>18</v>
      </c>
      <c r="V10" s="72">
        <f>IF($C$8=1,ROUND(((S10*(U10/100))/2),2),0)</f>
        <v>67.5</v>
      </c>
      <c r="W10" s="72">
        <f>IF($C$8=1,ROUND(((S10*(U10/100))/2),2),0)</f>
        <v>67.5</v>
      </c>
      <c r="X10" s="72">
        <f>IF($C$8=2,ROUND(((S10*U10)),2),0)</f>
        <v>0</v>
      </c>
      <c r="Y10" s="72">
        <f>V10+W10+X10</f>
        <v>135</v>
      </c>
      <c r="Z10" s="23">
        <f>S10+Y10</f>
        <v>885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750</v>
      </c>
      <c r="AG10" s="23" t="e">
        <f>IF($C$8=3,0,AD10+AE10)</f>
        <v>#REF!</v>
      </c>
      <c r="AH10" s="23">
        <f>IF($C$8=3,AB10+AD10+AE10,0)</f>
        <v>0</v>
      </c>
      <c r="AI10" s="47">
        <v>1</v>
      </c>
      <c r="AJ10" s="23">
        <f>F10/AI10</f>
        <v>5</v>
      </c>
      <c r="AK10" s="23">
        <f>AF10/AJ10</f>
        <v>150</v>
      </c>
      <c r="AL10" s="23" t="e">
        <f>AG10/AJ10</f>
        <v>#REF!</v>
      </c>
      <c r="AM10" s="23">
        <f>AH10/AJ10</f>
        <v>0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3" t="s">
        <v>64</v>
      </c>
      <c r="C11" s="73" t="s">
        <v>64</v>
      </c>
      <c r="D11" s="5" t="s">
        <v>12</v>
      </c>
      <c r="E11" s="5" t="s">
        <v>12</v>
      </c>
      <c r="F11" s="47">
        <v>6</v>
      </c>
      <c r="G11" s="23">
        <v>200</v>
      </c>
      <c r="H11" s="72">
        <f>F11*G11</f>
        <v>1200</v>
      </c>
      <c r="I11" s="72">
        <v>0</v>
      </c>
      <c r="J11" s="72">
        <v>0</v>
      </c>
      <c r="K11" s="72">
        <v>0</v>
      </c>
      <c r="L11" s="72">
        <f>H11</f>
        <v>1200</v>
      </c>
      <c r="M11" s="72">
        <f>ROUND((L11*I11)/100,2)</f>
        <v>0</v>
      </c>
      <c r="N11" s="72">
        <f>H11-M11</f>
        <v>1200</v>
      </c>
      <c r="O11" s="72">
        <f>ROUND((N11*J11)/100,2)</f>
        <v>0</v>
      </c>
      <c r="P11" s="72">
        <f>ROUND(N11-O11,2)</f>
        <v>1200</v>
      </c>
      <c r="Q11" s="72">
        <f>ROUND((P11*K11)/100,2)</f>
        <v>0</v>
      </c>
      <c r="R11" s="23">
        <f>M11+O11+Q11</f>
        <v>0</v>
      </c>
      <c r="S11" s="23">
        <f>(H11-R11)</f>
        <v>1200</v>
      </c>
      <c r="T11" s="23" t="s">
        <v>57</v>
      </c>
      <c r="U11" s="72">
        <v>5</v>
      </c>
      <c r="V11" s="72">
        <f>IF($C$8=1,ROUND(((S11*(U11/100))/2),2),0)</f>
        <v>30</v>
      </c>
      <c r="W11" s="72">
        <f>IF($C$8=1,ROUND(((S11*(U11/100))/2),2),0)</f>
        <v>30</v>
      </c>
      <c r="X11" s="72">
        <f>IF($C$8=2,ROUND(((S11*U11)),2),0)</f>
        <v>0</v>
      </c>
      <c r="Y11" s="72">
        <f>V11+W11+X11</f>
        <v>60</v>
      </c>
      <c r="Z11" s="23">
        <f>S11+Y11</f>
        <v>1260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1200</v>
      </c>
      <c r="AG11" s="23" t="e">
        <f>IF($C$8=3,0,AD11+AE11)</f>
        <v>#REF!</v>
      </c>
      <c r="AH11" s="23">
        <f>IF($C$8=3,AB11+AD11+AE11,0)</f>
        <v>0</v>
      </c>
      <c r="AI11" s="47">
        <v>1</v>
      </c>
      <c r="AJ11" s="23">
        <f>F11/AI11</f>
        <v>6</v>
      </c>
      <c r="AK11" s="23">
        <f>AF11/AJ11</f>
        <v>200</v>
      </c>
      <c r="AL11" s="23" t="e">
        <f>AG11/AJ11</f>
        <v>#REF!</v>
      </c>
      <c r="AM11" s="23">
        <f>AH11/AJ11</f>
        <v>0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1950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0</v>
      </c>
      <c r="S12" s="7">
        <f t="shared" si="0"/>
        <v>1950</v>
      </c>
      <c r="T12" s="7"/>
      <c r="U12" s="7"/>
      <c r="V12" s="48">
        <f t="shared" si="0"/>
        <v>97.5</v>
      </c>
      <c r="W12" s="48">
        <f t="shared" si="0"/>
        <v>97.5</v>
      </c>
      <c r="X12" s="48">
        <f t="shared" si="0"/>
        <v>0</v>
      </c>
      <c r="Y12" s="7">
        <f t="shared" si="0"/>
        <v>195</v>
      </c>
      <c r="Z12" s="18">
        <f t="shared" si="0"/>
        <v>2145</v>
      </c>
      <c r="AA12" s="69">
        <f t="shared" si="0"/>
        <v>320</v>
      </c>
      <c r="AB12" s="69" t="e">
        <f t="shared" si="0"/>
        <v>#REF!</v>
      </c>
      <c r="AC12" s="18"/>
      <c r="AD12" s="69" t="e">
        <f>SUM(AD10:AD11)</f>
        <v>#REF!</v>
      </c>
      <c r="AE12" s="69" t="e">
        <f>SUM(AE10:AE11)</f>
        <v>#REF!</v>
      </c>
      <c r="AF12" s="69">
        <f>SUM(AF10:AF11)</f>
        <v>1950</v>
      </c>
      <c r="AG12" s="69" t="e">
        <f>SUM(AG10:AG11)</f>
        <v>#REF!</v>
      </c>
      <c r="AH12" s="69">
        <f>SUM(AH10:AH11)</f>
        <v>0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O12"/>
  <sheetViews>
    <sheetView showGridLines="0" workbookViewId="0">
      <selection activeCell="A7" sqref="A7"/>
    </sheetView>
  </sheetViews>
  <sheetFormatPr defaultColWidth="9.140625" defaultRowHeight="14.25"/>
  <cols>
    <col min="1" max="1" width="8" style="2" customWidth="1"/>
    <col min="2" max="2" width="21" style="2" customWidth="1"/>
    <col min="3" max="3" width="29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1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41" ht="18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4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4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</row>
    <row r="5" spans="1:41" ht="15">
      <c r="A5" s="5">
        <v>2</v>
      </c>
      <c r="B5" s="73" t="s">
        <v>64</v>
      </c>
      <c r="C5" s="73" t="s">
        <v>64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</row>
    <row r="6" spans="1:41">
      <c r="B6" s="84" t="s">
        <v>14</v>
      </c>
      <c r="C6" s="84"/>
      <c r="D6" s="84"/>
      <c r="E6" s="84"/>
      <c r="F6" s="84"/>
      <c r="G6" s="84"/>
      <c r="H6" s="74">
        <f>SUM(H4:H5)</f>
        <v>1950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1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>
      <c r="A10" s="5">
        <v>1</v>
      </c>
      <c r="B10" s="71" t="s">
        <v>62</v>
      </c>
      <c r="C10" s="71" t="s">
        <v>63</v>
      </c>
      <c r="D10" s="5" t="s">
        <v>12</v>
      </c>
      <c r="E10" s="5" t="s">
        <v>12</v>
      </c>
      <c r="F10" s="47">
        <v>5</v>
      </c>
      <c r="G10" s="23">
        <v>150</v>
      </c>
      <c r="H10" s="72">
        <f>F10*G10</f>
        <v>750</v>
      </c>
      <c r="I10" s="72">
        <v>0</v>
      </c>
      <c r="J10" s="72">
        <v>0</v>
      </c>
      <c r="K10" s="72">
        <v>0</v>
      </c>
      <c r="L10" s="72">
        <f>H10</f>
        <v>750</v>
      </c>
      <c r="M10" s="72">
        <f>ROUND((L10*I10)/100,2)</f>
        <v>0</v>
      </c>
      <c r="N10" s="72">
        <f>H10-M10</f>
        <v>750</v>
      </c>
      <c r="O10" s="72">
        <f>ROUND((N10*J10)/100,2)</f>
        <v>0</v>
      </c>
      <c r="P10" s="72">
        <f>ROUND(N10-O10,2)</f>
        <v>750</v>
      </c>
      <c r="Q10" s="72">
        <f>ROUND((P10*K10)/100,2)</f>
        <v>0</v>
      </c>
      <c r="R10" s="23">
        <f>M10+O10+Q10</f>
        <v>0</v>
      </c>
      <c r="S10" s="23">
        <f>(H10-R10)</f>
        <v>750</v>
      </c>
      <c r="T10" s="23" t="s">
        <v>57</v>
      </c>
      <c r="U10" s="72">
        <v>0</v>
      </c>
      <c r="V10" s="72">
        <f>IF($C$8=1,ROUND(((S10*(U10/100))/2),2),0)</f>
        <v>0</v>
      </c>
      <c r="W10" s="72">
        <f>IF($C$8=1,ROUND(((S10*(U10/100))/2),2),0)</f>
        <v>0</v>
      </c>
      <c r="X10" s="72">
        <f>IF($C$8=2,ROUND(((S10*U10)),2),0)</f>
        <v>0</v>
      </c>
      <c r="Y10" s="72">
        <f>V10+W10+X10</f>
        <v>0</v>
      </c>
      <c r="Z10" s="23">
        <f>S10+Y10</f>
        <v>750</v>
      </c>
      <c r="AA10" s="23">
        <v>120</v>
      </c>
      <c r="AB10" s="23" t="e">
        <f>IF($P$8=1,(S10/$S$12)*#REF!,AA10/$AA$12*#REF!)</f>
        <v>#REF!</v>
      </c>
      <c r="AC10" s="23"/>
      <c r="AD10" s="23" t="e">
        <f>IF($P$8=1,(S10/$S$12)*#REF!,AA10/$AA$12*#REF!)</f>
        <v>#REF!</v>
      </c>
      <c r="AE10" s="23" t="e">
        <f>IF($P$8=1,(S10/$S$12)*#REF!,AA10/$AA$12*#REF!)</f>
        <v>#REF!</v>
      </c>
      <c r="AF10" s="23">
        <f>S10*$M$8</f>
        <v>750</v>
      </c>
      <c r="AG10" s="23" t="e">
        <f>IF($C$8=3,0,AD10+AE10)</f>
        <v>#REF!</v>
      </c>
      <c r="AH10" s="23">
        <f>IF($C$8=3,AB10+AD10+AE10,0)</f>
        <v>0</v>
      </c>
      <c r="AI10" s="47">
        <v>1</v>
      </c>
      <c r="AJ10" s="23">
        <f>F10/AI10</f>
        <v>5</v>
      </c>
      <c r="AK10" s="23">
        <f>AF10/AJ10</f>
        <v>150</v>
      </c>
      <c r="AL10" s="23" t="e">
        <f>AG10/AJ10</f>
        <v>#REF!</v>
      </c>
      <c r="AM10" s="23">
        <f>AH10/AJ10</f>
        <v>0</v>
      </c>
      <c r="AN10" s="23" t="s">
        <v>12</v>
      </c>
      <c r="AO10" s="23" t="e">
        <f>AK10+AL10+AM10</f>
        <v>#REF!</v>
      </c>
    </row>
    <row r="11" spans="1:41" ht="15">
      <c r="A11" s="5">
        <v>2</v>
      </c>
      <c r="B11" s="73" t="s">
        <v>64</v>
      </c>
      <c r="C11" s="73" t="s">
        <v>64</v>
      </c>
      <c r="D11" s="5" t="s">
        <v>12</v>
      </c>
      <c r="E11" s="5" t="s">
        <v>12</v>
      </c>
      <c r="F11" s="47">
        <v>6</v>
      </c>
      <c r="G11" s="23">
        <v>200</v>
      </c>
      <c r="H11" s="72">
        <f>F11*G11</f>
        <v>1200</v>
      </c>
      <c r="I11" s="72">
        <v>0</v>
      </c>
      <c r="J11" s="72">
        <v>0</v>
      </c>
      <c r="K11" s="72">
        <v>0</v>
      </c>
      <c r="L11" s="72">
        <f>H11</f>
        <v>1200</v>
      </c>
      <c r="M11" s="72">
        <f>ROUND((L11*I11)/100,2)</f>
        <v>0</v>
      </c>
      <c r="N11" s="72">
        <f>H11-M11</f>
        <v>1200</v>
      </c>
      <c r="O11" s="72">
        <f>ROUND((N11*J11)/100,2)</f>
        <v>0</v>
      </c>
      <c r="P11" s="72">
        <f>ROUND(N11-O11,2)</f>
        <v>1200</v>
      </c>
      <c r="Q11" s="72">
        <f>ROUND((P11*K11)/100,2)</f>
        <v>0</v>
      </c>
      <c r="R11" s="23">
        <f>M11+O11+Q11</f>
        <v>0</v>
      </c>
      <c r="S11" s="23">
        <f>(H11-R11)</f>
        <v>1200</v>
      </c>
      <c r="T11" s="23" t="s">
        <v>57</v>
      </c>
      <c r="U11" s="72">
        <v>0</v>
      </c>
      <c r="V11" s="72">
        <f>IF($C$8=1,ROUND(((S11*(U11/100))/2),2),0)</f>
        <v>0</v>
      </c>
      <c r="W11" s="72">
        <f>IF($C$8=1,ROUND(((S11*(U11/100))/2),2),0)</f>
        <v>0</v>
      </c>
      <c r="X11" s="72">
        <f>IF($C$8=2,ROUND(((S11*U11)),2),0)</f>
        <v>0</v>
      </c>
      <c r="Y11" s="72">
        <f>V11+W11+X11</f>
        <v>0</v>
      </c>
      <c r="Z11" s="23">
        <f>S11+Y11</f>
        <v>1200</v>
      </c>
      <c r="AA11" s="23">
        <v>200</v>
      </c>
      <c r="AB11" s="23" t="e">
        <f>IF($P$8=1,(S11/$S$12)*#REF!,AA11/$AA$12*#REF!)</f>
        <v>#REF!</v>
      </c>
      <c r="AC11" s="23"/>
      <c r="AD11" s="23" t="e">
        <f>IF($P$8=1,(S11/$S$12)*#REF!,AA11/$AA$12*#REF!)</f>
        <v>#REF!</v>
      </c>
      <c r="AE11" s="23" t="e">
        <f>IF($P$8=1,(S11/$S$12)*#REF!,AA11/$AA$12*#REF!)</f>
        <v>#REF!</v>
      </c>
      <c r="AF11" s="23">
        <f>S11*$M$8</f>
        <v>1200</v>
      </c>
      <c r="AG11" s="23" t="e">
        <f>IF($C$8=3,0,AD11+AE11)</f>
        <v>#REF!</v>
      </c>
      <c r="AH11" s="23">
        <f>IF($C$8=3,AB11+AD11+AE11,0)</f>
        <v>0</v>
      </c>
      <c r="AI11" s="47">
        <v>1</v>
      </c>
      <c r="AJ11" s="23">
        <f>F11/AI11</f>
        <v>6</v>
      </c>
      <c r="AK11" s="23">
        <f>AF11/AJ11</f>
        <v>200</v>
      </c>
      <c r="AL11" s="23" t="e">
        <f>AG11/AJ11</f>
        <v>#REF!</v>
      </c>
      <c r="AM11" s="23">
        <f>AH11/AJ11</f>
        <v>0</v>
      </c>
      <c r="AN11" s="23" t="s">
        <v>12</v>
      </c>
      <c r="AO11" s="23" t="e">
        <f>AK11+AL11+AM11</f>
        <v>#REF!</v>
      </c>
    </row>
    <row r="12" spans="1:41">
      <c r="B12" s="81" t="s">
        <v>14</v>
      </c>
      <c r="C12" s="81"/>
      <c r="D12" s="81"/>
      <c r="E12" s="81"/>
      <c r="F12" s="81"/>
      <c r="G12" s="81"/>
      <c r="H12" s="74">
        <f>SUM(H10:H11)</f>
        <v>1950</v>
      </c>
      <c r="I12" s="5"/>
      <c r="J12" s="5"/>
      <c r="K12" s="5"/>
      <c r="L12" s="5"/>
      <c r="M12" s="5"/>
      <c r="N12" s="5"/>
      <c r="O12" s="5"/>
      <c r="P12" s="5"/>
      <c r="Q12" s="5"/>
      <c r="R12" s="7">
        <f t="shared" ref="R12:AB12" si="0">SUM(R10:R11)</f>
        <v>0</v>
      </c>
      <c r="S12" s="7">
        <f t="shared" si="0"/>
        <v>1950</v>
      </c>
      <c r="T12" s="7"/>
      <c r="U12" s="7"/>
      <c r="V12" s="48">
        <f t="shared" si="0"/>
        <v>0</v>
      </c>
      <c r="W12" s="48">
        <f t="shared" si="0"/>
        <v>0</v>
      </c>
      <c r="X12" s="48">
        <f t="shared" si="0"/>
        <v>0</v>
      </c>
      <c r="Y12" s="7">
        <f t="shared" si="0"/>
        <v>0</v>
      </c>
      <c r="Z12" s="18">
        <f t="shared" si="0"/>
        <v>1950</v>
      </c>
      <c r="AA12" s="69">
        <f t="shared" si="0"/>
        <v>320</v>
      </c>
      <c r="AB12" s="69" t="e">
        <f t="shared" si="0"/>
        <v>#REF!</v>
      </c>
      <c r="AC12" s="18"/>
      <c r="AD12" s="69" t="e">
        <f>SUM(AD10:AD11)</f>
        <v>#REF!</v>
      </c>
      <c r="AE12" s="69" t="e">
        <f>SUM(AE10:AE11)</f>
        <v>#REF!</v>
      </c>
      <c r="AF12" s="69">
        <f>SUM(AF10:AF11)</f>
        <v>1950</v>
      </c>
      <c r="AG12" s="69" t="e">
        <f>SUM(AG10:AG11)</f>
        <v>#REF!</v>
      </c>
      <c r="AH12" s="69">
        <f>SUM(AH10:AH11)</f>
        <v>0</v>
      </c>
      <c r="AI12" s="18"/>
      <c r="AJ12" s="18"/>
      <c r="AK12" s="18"/>
      <c r="AL12" s="18"/>
      <c r="AM12" s="18"/>
      <c r="AN12" s="18"/>
      <c r="AO12" s="18"/>
    </row>
  </sheetData>
  <mergeCells count="4">
    <mergeCell ref="A1:Z1"/>
    <mergeCell ref="B6:G6"/>
    <mergeCell ref="A8:B8"/>
    <mergeCell ref="B12:G12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O6"/>
  <sheetViews>
    <sheetView showGridLines="0" workbookViewId="0">
      <selection activeCell="A7" sqref="A7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5</v>
      </c>
      <c r="V4" s="23">
        <f>IF($C$2=1,ROUND(((S4*(U4/100))/2),2),0)</f>
        <v>15.57</v>
      </c>
      <c r="W4" s="23">
        <f>IF($C$2=1,ROUND(((S4*(U4/100))/2),2),0)</f>
        <v>15.57</v>
      </c>
      <c r="X4" s="23">
        <f>IF($C$2=2,ROUND(((S4*U4)),2),0)</f>
        <v>0</v>
      </c>
      <c r="Y4" s="23">
        <f>V4+W4+X4</f>
        <v>31.14</v>
      </c>
      <c r="Z4" s="23">
        <f>S4+Y4</f>
        <v>654.01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 t="e">
        <f>IF($C$2=3,0,AD4+AE4)</f>
        <v>#REF!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#REF!</v>
      </c>
      <c r="AM4" s="23">
        <f>AH4/AJ4</f>
        <v>0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5" t="s">
        <v>13</v>
      </c>
      <c r="C5" s="5" t="s">
        <v>13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5</v>
      </c>
      <c r="V5" s="23">
        <f>IF($C$2=1,ROUND(((S5*(U5/100))/2),2),0)</f>
        <v>28.23</v>
      </c>
      <c r="W5" s="23">
        <f>IF($C$2=1,ROUND(((S5*(U5/100))/2),2),0)</f>
        <v>28.23</v>
      </c>
      <c r="X5" s="23">
        <f>IF($C$2=2,ROUND(((S5*U5)),2),0)</f>
        <v>0</v>
      </c>
      <c r="Y5" s="23">
        <f>V5+W5+X5</f>
        <v>56.46</v>
      </c>
      <c r="Z5" s="23">
        <f>S5+Y5</f>
        <v>1185.77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 t="e">
        <f>IF($C$2=3,0,AD5+AE5)</f>
        <v>#REF!</v>
      </c>
      <c r="AH5" s="23">
        <f>IF($C$2=3,AB5+AD5+AE5,0)</f>
        <v>0</v>
      </c>
      <c r="AI5" s="47">
        <v>1</v>
      </c>
      <c r="AJ5" s="23">
        <f>F5/AI5</f>
        <v>6</v>
      </c>
      <c r="AK5" s="23">
        <f>AF5/AJ5</f>
        <v>188.21833333333299</v>
      </c>
      <c r="AL5" s="23" t="e">
        <f>AG5/AJ5</f>
        <v>#REF!</v>
      </c>
      <c r="AM5" s="23">
        <f>AH5/AJ5</f>
        <v>0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43.8</v>
      </c>
      <c r="W6" s="48">
        <f t="shared" si="0"/>
        <v>43.8</v>
      </c>
      <c r="X6" s="48">
        <f t="shared" si="0"/>
        <v>0</v>
      </c>
      <c r="Y6" s="7">
        <f t="shared" si="0"/>
        <v>87.6</v>
      </c>
      <c r="Z6" s="18">
        <f t="shared" si="0"/>
        <v>1839.78</v>
      </c>
      <c r="AA6" s="69">
        <f t="shared" si="0"/>
        <v>320</v>
      </c>
      <c r="AB6" s="69" t="e">
        <f t="shared" si="0"/>
        <v>#REF!</v>
      </c>
      <c r="AC6" s="18"/>
      <c r="AD6" s="69" t="e">
        <f>SUM(AD4:AD5)</f>
        <v>#REF!</v>
      </c>
      <c r="AE6" s="69" t="e">
        <f>SUM(AE4:AE5)</f>
        <v>#REF!</v>
      </c>
      <c r="AF6" s="69">
        <f>SUM(AF4:AF5)</f>
        <v>1752.18</v>
      </c>
      <c r="AG6" s="69" t="e">
        <f>SUM(AG4:AG5)</f>
        <v>#REF!</v>
      </c>
      <c r="AH6" s="69">
        <f>SUM(AH4:AH5)</f>
        <v>0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O6"/>
  <sheetViews>
    <sheetView showGridLines="0" topLeftCell="Q1" workbookViewId="0">
      <selection activeCell="U4" sqref="U4"/>
    </sheetView>
  </sheetViews>
  <sheetFormatPr defaultColWidth="9.140625" defaultRowHeight="14.25"/>
  <cols>
    <col min="1" max="1" width="8" style="2" customWidth="1"/>
    <col min="2" max="2" width="21" style="2" customWidth="1"/>
    <col min="3" max="3" width="29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18</v>
      </c>
      <c r="V4" s="72">
        <f>IF($C$2=1,ROUND(((S4*(U4/100))/2),2),0)</f>
        <v>56.06</v>
      </c>
      <c r="W4" s="72">
        <f>IF($C$2=1,ROUND(((S4*(U4/100))/2),2),0)</f>
        <v>56.06</v>
      </c>
      <c r="X4" s="72">
        <f>IF($C$2=2,ROUND(((S4*U4)),2),0)</f>
        <v>0</v>
      </c>
      <c r="Y4" s="72">
        <f>V4+W4+X4</f>
        <v>112.12</v>
      </c>
      <c r="Z4" s="23">
        <f>S4+Y4</f>
        <v>734.99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 t="e">
        <f>IF($C$2=3,0,AD4+AE4)</f>
        <v>#REF!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#REF!</v>
      </c>
      <c r="AM4" s="23">
        <f>AH4/AJ4</f>
        <v>0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3" t="s">
        <v>64</v>
      </c>
      <c r="C5" s="73" t="s">
        <v>64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5</v>
      </c>
      <c r="V5" s="72">
        <f>IF($C$2=1,ROUND(((S5*(U5/100))/2),2),0)</f>
        <v>28.23</v>
      </c>
      <c r="W5" s="72">
        <f>IF($C$2=1,ROUND(((S5*(U5/100))/2),2),0)</f>
        <v>28.23</v>
      </c>
      <c r="X5" s="72">
        <f>IF($C$2=2,ROUND(((S5*U5)),2),0)</f>
        <v>0</v>
      </c>
      <c r="Y5" s="72">
        <f>V5+W5+X5</f>
        <v>56.46</v>
      </c>
      <c r="Z5" s="23">
        <f>S5+Y5</f>
        <v>1185.77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 t="e">
        <f>IF($C$2=3,0,AD5+AE5)</f>
        <v>#REF!</v>
      </c>
      <c r="AH5" s="23">
        <f>IF($C$2=3,AB5+AD5+AE5,0)</f>
        <v>0</v>
      </c>
      <c r="AI5" s="47">
        <v>1</v>
      </c>
      <c r="AJ5" s="23">
        <f>F5/AI5</f>
        <v>6</v>
      </c>
      <c r="AK5" s="23">
        <f>AF5/AJ5</f>
        <v>188.21833333333299</v>
      </c>
      <c r="AL5" s="23" t="e">
        <f>AG5/AJ5</f>
        <v>#REF!</v>
      </c>
      <c r="AM5" s="23">
        <f>AH5/AJ5</f>
        <v>0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84.29</v>
      </c>
      <c r="W6" s="48">
        <f t="shared" si="0"/>
        <v>84.29</v>
      </c>
      <c r="X6" s="48">
        <f t="shared" si="0"/>
        <v>0</v>
      </c>
      <c r="Y6" s="7">
        <f t="shared" si="0"/>
        <v>168.58</v>
      </c>
      <c r="Z6" s="18">
        <f t="shared" si="0"/>
        <v>1920.76</v>
      </c>
      <c r="AA6" s="69">
        <f t="shared" si="0"/>
        <v>320</v>
      </c>
      <c r="AB6" s="69" t="e">
        <f t="shared" si="0"/>
        <v>#REF!</v>
      </c>
      <c r="AC6" s="18"/>
      <c r="AD6" s="69" t="e">
        <f>SUM(AD4:AD5)</f>
        <v>#REF!</v>
      </c>
      <c r="AE6" s="69" t="e">
        <f>SUM(AE4:AE5)</f>
        <v>#REF!</v>
      </c>
      <c r="AF6" s="69">
        <f>SUM(AF4:AF5)</f>
        <v>1752.18</v>
      </c>
      <c r="AG6" s="69" t="e">
        <f>SUM(AG4:AG5)</f>
        <v>#REF!</v>
      </c>
      <c r="AH6" s="69">
        <f>SUM(AH4:AH5)</f>
        <v>0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O6"/>
  <sheetViews>
    <sheetView showGridLines="0" workbookViewId="0">
      <selection activeCell="G26" sqref="G26"/>
    </sheetView>
  </sheetViews>
  <sheetFormatPr defaultColWidth="9.140625" defaultRowHeight="14.25"/>
  <cols>
    <col min="1" max="1" width="8" style="2" customWidth="1"/>
    <col min="2" max="2" width="21" style="2" customWidth="1"/>
    <col min="3" max="3" width="21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3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 ht="15">
      <c r="A4" s="5">
        <v>1</v>
      </c>
      <c r="B4" s="75" t="s">
        <v>10</v>
      </c>
      <c r="C4" s="5" t="s">
        <v>11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0</v>
      </c>
      <c r="V4" s="72">
        <f>IF($C$2=1,ROUND(((S4*(U4/100))/2),2),0)</f>
        <v>0</v>
      </c>
      <c r="W4" s="72">
        <f>IF($C$2=1,ROUND(((S4*(U4/100))/2),2),0)</f>
        <v>0</v>
      </c>
      <c r="X4" s="72">
        <f>IF($C$2=2,ROUND(((S4*U4)),2),0)</f>
        <v>0</v>
      </c>
      <c r="Y4" s="72">
        <f>V4+W4+X4</f>
        <v>0</v>
      </c>
      <c r="Z4" s="23">
        <f>S4+Y4</f>
        <v>622.87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>
        <f>IF($C$2=3,0,AD4+AE4)</f>
        <v>0</v>
      </c>
      <c r="AH4" s="23" t="e">
        <f>IF($C$2=3,AB4+AD4+AE4,0)</f>
        <v>#REF!</v>
      </c>
      <c r="AI4" s="47">
        <v>1</v>
      </c>
      <c r="AJ4" s="23">
        <f>F4/AI4</f>
        <v>5</v>
      </c>
      <c r="AK4" s="23">
        <f>AF4/AJ4</f>
        <v>124.574</v>
      </c>
      <c r="AL4" s="23">
        <f>AG4/AJ4</f>
        <v>0</v>
      </c>
      <c r="AM4" s="23" t="e">
        <f>AH4/AJ4</f>
        <v>#REF!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5" t="s">
        <v>13</v>
      </c>
      <c r="C5" s="5" t="s">
        <v>13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0</v>
      </c>
      <c r="V5" s="72">
        <f>IF($C$2=1,ROUND(((S5*(U5/100))/2),2),0)</f>
        <v>0</v>
      </c>
      <c r="W5" s="72">
        <f>IF($C$2=1,ROUND(((S5*(U5/100))/2),2),0)</f>
        <v>0</v>
      </c>
      <c r="X5" s="72">
        <f>IF($C$2=2,ROUND(((S5*U5)),2),0)</f>
        <v>0</v>
      </c>
      <c r="Y5" s="72">
        <f>V5+W5+X5</f>
        <v>0</v>
      </c>
      <c r="Z5" s="23">
        <f>S5+Y5</f>
        <v>1129.31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>
        <f>IF($C$2=3,0,AD5+AE5)</f>
        <v>0</v>
      </c>
      <c r="AH5" s="23" t="e">
        <f>IF($C$2=3,AB5+AD5+AE5,0)</f>
        <v>#REF!</v>
      </c>
      <c r="AI5" s="47">
        <v>1</v>
      </c>
      <c r="AJ5" s="23">
        <f>F5/AI5</f>
        <v>6</v>
      </c>
      <c r="AK5" s="23">
        <f>AF5/AJ5</f>
        <v>188.21833333333299</v>
      </c>
      <c r="AL5" s="23">
        <f>AG5/AJ5</f>
        <v>0</v>
      </c>
      <c r="AM5" s="23" t="e">
        <f>AH5/AJ5</f>
        <v>#REF!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0</v>
      </c>
      <c r="W6" s="48">
        <f t="shared" si="0"/>
        <v>0</v>
      </c>
      <c r="X6" s="48">
        <f t="shared" si="0"/>
        <v>0</v>
      </c>
      <c r="Y6" s="7">
        <f t="shared" si="0"/>
        <v>0</v>
      </c>
      <c r="Z6" s="18">
        <f t="shared" si="0"/>
        <v>1752.18</v>
      </c>
      <c r="AA6" s="69">
        <f t="shared" si="0"/>
        <v>320</v>
      </c>
      <c r="AB6" s="69" t="e">
        <f t="shared" si="0"/>
        <v>#REF!</v>
      </c>
      <c r="AC6" s="18"/>
      <c r="AD6" s="69" t="e">
        <f>SUM(AD4:AD5)</f>
        <v>#REF!</v>
      </c>
      <c r="AE6" s="69" t="e">
        <f>SUM(AE4:AE5)</f>
        <v>#REF!</v>
      </c>
      <c r="AF6" s="69">
        <f>SUM(AF4:AF5)</f>
        <v>1752.18</v>
      </c>
      <c r="AG6" s="69">
        <f>SUM(AG4:AG5)</f>
        <v>0</v>
      </c>
      <c r="AH6" s="69" t="e">
        <f>SUM(AH4:AH5)</f>
        <v>#REF!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O6"/>
  <sheetViews>
    <sheetView showGridLines="0" topLeftCell="L1" workbookViewId="0">
      <selection activeCell="N24" sqref="N24"/>
    </sheetView>
  </sheetViews>
  <sheetFormatPr defaultColWidth="9.140625" defaultRowHeight="14.25"/>
  <cols>
    <col min="1" max="1" width="8" style="2" customWidth="1"/>
    <col min="2" max="2" width="27.5703125" style="2" customWidth="1"/>
    <col min="3" max="3" width="33.140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1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12</v>
      </c>
      <c r="V4" s="23">
        <f>IF($C$2=1,ROUND(((S4*(U4/100))/2),2),0)</f>
        <v>37.369999999999997</v>
      </c>
      <c r="W4" s="23">
        <f>IF($C$2=1,ROUND(((S4*(U4/100))/2),2),0)</f>
        <v>37.369999999999997</v>
      </c>
      <c r="X4" s="23">
        <f>IF($C$2=2,ROUND(((S4*U4)),2),0)</f>
        <v>0</v>
      </c>
      <c r="Y4" s="23">
        <f>V4+W4+X4</f>
        <v>74.739999999999995</v>
      </c>
      <c r="Z4" s="23">
        <f>S4+Y4</f>
        <v>697.61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 t="e">
        <f>IF($C$2=3,0,AD4+AE4)</f>
        <v>#REF!</v>
      </c>
      <c r="AH4" s="23">
        <f>IF($C$2=3,AB4+AD4+AE4,0)</f>
        <v>0</v>
      </c>
      <c r="AI4" s="47">
        <v>1</v>
      </c>
      <c r="AJ4" s="23">
        <f>F4/AI4</f>
        <v>5</v>
      </c>
      <c r="AK4" s="23">
        <f>AF4/AJ4</f>
        <v>124.574</v>
      </c>
      <c r="AL4" s="23" t="e">
        <f>AG4/AJ4</f>
        <v>#REF!</v>
      </c>
      <c r="AM4" s="23">
        <f>AH4/AJ4</f>
        <v>0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3" t="s">
        <v>61</v>
      </c>
      <c r="C5" s="73" t="s">
        <v>61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5</v>
      </c>
      <c r="V5" s="23">
        <f>IF($C$2=1,ROUND(((S5*(U5/100))/2),2),0)</f>
        <v>28.23</v>
      </c>
      <c r="W5" s="23">
        <f>IF($C$2=1,ROUND(((S5*(U5/100))/2),2),0)</f>
        <v>28.23</v>
      </c>
      <c r="X5" s="23">
        <f>IF($C$2=2,ROUND(((S5*U5)),2),0)</f>
        <v>0</v>
      </c>
      <c r="Y5" s="23">
        <f>V5+W5+X5</f>
        <v>56.46</v>
      </c>
      <c r="Z5" s="23">
        <f>S5+Y5</f>
        <v>1185.77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 t="e">
        <f>IF($C$2=3,0,AD5+AE5)</f>
        <v>#REF!</v>
      </c>
      <c r="AH5" s="23">
        <f>IF($C$2=3,AB5+AD5+AE5,0)</f>
        <v>0</v>
      </c>
      <c r="AI5" s="47">
        <v>1</v>
      </c>
      <c r="AJ5" s="23">
        <f>F5/AI5</f>
        <v>6</v>
      </c>
      <c r="AK5" s="23">
        <f>AF5/AJ5</f>
        <v>188.21833333333299</v>
      </c>
      <c r="AL5" s="23" t="e">
        <f>AG5/AJ5</f>
        <v>#REF!</v>
      </c>
      <c r="AM5" s="23">
        <f>AH5/AJ5</f>
        <v>0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65.599999999999994</v>
      </c>
      <c r="W6" s="48">
        <f t="shared" si="0"/>
        <v>65.599999999999994</v>
      </c>
      <c r="X6" s="48">
        <f t="shared" si="0"/>
        <v>0</v>
      </c>
      <c r="Y6" s="7">
        <f t="shared" si="0"/>
        <v>131.19999999999999</v>
      </c>
      <c r="Z6" s="18">
        <f t="shared" si="0"/>
        <v>1883.38</v>
      </c>
      <c r="AA6" s="69">
        <f t="shared" si="0"/>
        <v>320</v>
      </c>
      <c r="AB6" s="69" t="e">
        <f t="shared" si="0"/>
        <v>#REF!</v>
      </c>
      <c r="AC6" s="18"/>
      <c r="AD6" s="69" t="e">
        <f>SUM(AD4:AD5)</f>
        <v>#REF!</v>
      </c>
      <c r="AE6" s="69" t="e">
        <f>SUM(AE4:AE5)</f>
        <v>#REF!</v>
      </c>
      <c r="AF6" s="69">
        <f>SUM(AF4:AF5)</f>
        <v>1752.18</v>
      </c>
      <c r="AG6" s="69" t="e">
        <f>SUM(AG4:AG5)</f>
        <v>#REF!</v>
      </c>
      <c r="AH6" s="69">
        <f>SUM(AH4:AH5)</f>
        <v>0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O6"/>
  <sheetViews>
    <sheetView showGridLines="0" topLeftCell="F1" workbookViewId="0">
      <selection activeCell="V8" sqref="V8"/>
    </sheetView>
  </sheetViews>
  <sheetFormatPr defaultColWidth="9.140625" defaultRowHeight="14.25"/>
  <cols>
    <col min="1" max="1" width="8" style="2" customWidth="1"/>
    <col min="2" max="2" width="27.5703125" style="2" customWidth="1"/>
    <col min="3" max="3" width="33.140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3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>
      <c r="A4" s="5">
        <v>1</v>
      </c>
      <c r="B4" s="71" t="s">
        <v>59</v>
      </c>
      <c r="C4" s="71" t="s">
        <v>60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0</v>
      </c>
      <c r="V4" s="72">
        <f>IF($C$2=1,ROUND(((S4*(U4/100))/2),2),0)</f>
        <v>0</v>
      </c>
      <c r="W4" s="72">
        <f>IF($C$2=1,ROUND(((S4*(U4/100))/2),2),0)</f>
        <v>0</v>
      </c>
      <c r="X4" s="72">
        <f>IF($C$2=2,ROUND(((S4*U4)),2),0)</f>
        <v>0</v>
      </c>
      <c r="Y4" s="72">
        <f>V4+W4+X4</f>
        <v>0</v>
      </c>
      <c r="Z4" s="23">
        <f>S4+Y4</f>
        <v>622.87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>
        <f>IF($C$2=3,0,AD4+AE4)</f>
        <v>0</v>
      </c>
      <c r="AH4" s="23" t="e">
        <f>IF($C$2=3,AB4+AD4+AE4,0)</f>
        <v>#REF!</v>
      </c>
      <c r="AI4" s="47">
        <v>1</v>
      </c>
      <c r="AJ4" s="23">
        <f>F4/AI4</f>
        <v>5</v>
      </c>
      <c r="AK4" s="23">
        <f>AF4/AJ4</f>
        <v>124.574</v>
      </c>
      <c r="AL4" s="23">
        <f>AG4/AJ4</f>
        <v>0</v>
      </c>
      <c r="AM4" s="23" t="e">
        <f>AH4/AJ4</f>
        <v>#REF!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3" t="s">
        <v>61</v>
      </c>
      <c r="C5" s="73" t="s">
        <v>61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0</v>
      </c>
      <c r="V5" s="72">
        <f>IF($C$2=1,ROUND(((S5*(U5/100))/2),2),0)</f>
        <v>0</v>
      </c>
      <c r="W5" s="72">
        <f>IF($C$2=1,ROUND(((S5*(U5/100))/2),2),0)</f>
        <v>0</v>
      </c>
      <c r="X5" s="72">
        <f>IF($C$2=2,ROUND(((S5*U5)),2),0)</f>
        <v>0</v>
      </c>
      <c r="Y5" s="72">
        <f>V5+W5+X5</f>
        <v>0</v>
      </c>
      <c r="Z5" s="23">
        <f>S5+Y5</f>
        <v>1129.31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>
        <f>IF($C$2=3,0,AD5+AE5)</f>
        <v>0</v>
      </c>
      <c r="AH5" s="23" t="e">
        <f>IF($C$2=3,AB5+AD5+AE5,0)</f>
        <v>#REF!</v>
      </c>
      <c r="AI5" s="47">
        <v>1</v>
      </c>
      <c r="AJ5" s="23">
        <f>F5/AI5</f>
        <v>6</v>
      </c>
      <c r="AK5" s="23">
        <f>AF5/AJ5</f>
        <v>188.21833333333299</v>
      </c>
      <c r="AL5" s="23">
        <f>AG5/AJ5</f>
        <v>0</v>
      </c>
      <c r="AM5" s="23" t="e">
        <f>AH5/AJ5</f>
        <v>#REF!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0</v>
      </c>
      <c r="W6" s="48">
        <f t="shared" si="0"/>
        <v>0</v>
      </c>
      <c r="X6" s="48">
        <f t="shared" si="0"/>
        <v>0</v>
      </c>
      <c r="Y6" s="7">
        <f t="shared" si="0"/>
        <v>0</v>
      </c>
      <c r="Z6" s="18">
        <f t="shared" si="0"/>
        <v>1752.18</v>
      </c>
      <c r="AA6" s="69">
        <f t="shared" si="0"/>
        <v>320</v>
      </c>
      <c r="AB6" s="69" t="e">
        <f t="shared" si="0"/>
        <v>#REF!</v>
      </c>
      <c r="AC6" s="18"/>
      <c r="AD6" s="69" t="e">
        <f>SUM(AD4:AD5)</f>
        <v>#REF!</v>
      </c>
      <c r="AE6" s="69" t="e">
        <f>SUM(AE4:AE5)</f>
        <v>#REF!</v>
      </c>
      <c r="AF6" s="69">
        <f>SUM(AF4:AF5)</f>
        <v>1752.18</v>
      </c>
      <c r="AG6" s="69">
        <f>SUM(AG4:AG5)</f>
        <v>0</v>
      </c>
      <c r="AH6" s="69" t="e">
        <f>SUM(AH4:AH5)</f>
        <v>#REF!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O6"/>
  <sheetViews>
    <sheetView showGridLines="0" topLeftCell="L1" workbookViewId="0">
      <selection activeCell="U12" sqref="U12"/>
    </sheetView>
  </sheetViews>
  <sheetFormatPr defaultColWidth="9.140625" defaultRowHeight="14.25"/>
  <cols>
    <col min="1" max="1" width="8" style="2" customWidth="1"/>
    <col min="2" max="2" width="21" style="2" customWidth="1"/>
    <col min="3" max="3" width="29.8554687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40" t="s">
        <v>15</v>
      </c>
      <c r="B1" s="41"/>
      <c r="C1" s="41"/>
      <c r="D1" s="41"/>
      <c r="E1" s="41"/>
      <c r="F1" s="41"/>
      <c r="G1" s="41"/>
      <c r="H1" s="40"/>
      <c r="I1" s="57"/>
      <c r="J1" s="57"/>
      <c r="K1" s="57"/>
      <c r="L1" s="57"/>
      <c r="M1" s="57"/>
      <c r="N1" s="57"/>
      <c r="O1" s="57"/>
      <c r="P1" s="57"/>
      <c r="Q1" s="57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19.899999999999999" customHeight="1">
      <c r="A2" s="82" t="s">
        <v>16</v>
      </c>
      <c r="B2" s="82"/>
      <c r="C2" s="42">
        <v>3</v>
      </c>
      <c r="D2" s="43" t="s">
        <v>17</v>
      </c>
      <c r="E2" s="41"/>
      <c r="F2" s="41"/>
      <c r="G2" s="41"/>
      <c r="H2" s="40"/>
      <c r="I2" s="57" t="s">
        <v>18</v>
      </c>
      <c r="J2" s="57" t="s">
        <v>19</v>
      </c>
      <c r="K2" s="57"/>
      <c r="L2" s="57" t="s">
        <v>20</v>
      </c>
      <c r="M2" s="57">
        <v>1</v>
      </c>
      <c r="N2" s="57"/>
      <c r="O2" s="57" t="s">
        <v>21</v>
      </c>
      <c r="P2" s="57">
        <v>2</v>
      </c>
      <c r="Q2" s="57" t="s">
        <v>22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s="1" customFormat="1" ht="42.75">
      <c r="A3" s="44" t="s">
        <v>2</v>
      </c>
      <c r="B3" s="44" t="s">
        <v>3</v>
      </c>
      <c r="C3" s="45" t="s">
        <v>4</v>
      </c>
      <c r="D3" s="44" t="s">
        <v>5</v>
      </c>
      <c r="E3" s="44" t="s">
        <v>6</v>
      </c>
      <c r="F3" s="46" t="s">
        <v>23</v>
      </c>
      <c r="G3" s="44" t="s">
        <v>8</v>
      </c>
      <c r="H3" s="44" t="s">
        <v>9</v>
      </c>
      <c r="I3" s="58" t="s">
        <v>24</v>
      </c>
      <c r="J3" s="58" t="s">
        <v>25</v>
      </c>
      <c r="K3" s="58" t="s">
        <v>26</v>
      </c>
      <c r="L3" s="59" t="s">
        <v>27</v>
      </c>
      <c r="M3" s="59" t="s">
        <v>28</v>
      </c>
      <c r="N3" s="59" t="s">
        <v>29</v>
      </c>
      <c r="O3" s="59" t="s">
        <v>30</v>
      </c>
      <c r="P3" s="59" t="s">
        <v>31</v>
      </c>
      <c r="Q3" s="59" t="s">
        <v>32</v>
      </c>
      <c r="R3" s="58" t="s">
        <v>33</v>
      </c>
      <c r="S3" s="44" t="s">
        <v>34</v>
      </c>
      <c r="T3" s="44" t="s">
        <v>35</v>
      </c>
      <c r="U3" s="63" t="s">
        <v>36</v>
      </c>
      <c r="V3" s="63" t="s">
        <v>37</v>
      </c>
      <c r="W3" s="63" t="s">
        <v>38</v>
      </c>
      <c r="X3" s="63" t="s">
        <v>39</v>
      </c>
      <c r="Y3" s="63" t="s">
        <v>40</v>
      </c>
      <c r="Z3" s="67" t="s">
        <v>41</v>
      </c>
      <c r="AA3" s="67" t="s">
        <v>42</v>
      </c>
      <c r="AB3" s="68" t="s">
        <v>43</v>
      </c>
      <c r="AC3" s="68" t="s">
        <v>44</v>
      </c>
      <c r="AD3" s="68" t="s">
        <v>45</v>
      </c>
      <c r="AE3" s="67" t="s">
        <v>46</v>
      </c>
      <c r="AF3" s="67" t="s">
        <v>47</v>
      </c>
      <c r="AG3" s="68" t="s">
        <v>48</v>
      </c>
      <c r="AH3" s="68" t="s">
        <v>49</v>
      </c>
      <c r="AI3" s="67" t="s">
        <v>50</v>
      </c>
      <c r="AJ3" s="67" t="s">
        <v>51</v>
      </c>
      <c r="AK3" s="68" t="s">
        <v>52</v>
      </c>
      <c r="AL3" s="68" t="s">
        <v>53</v>
      </c>
      <c r="AM3" s="68" t="s">
        <v>54</v>
      </c>
      <c r="AN3" s="67" t="s">
        <v>55</v>
      </c>
      <c r="AO3" s="70" t="s">
        <v>56</v>
      </c>
    </row>
    <row r="4" spans="1:41">
      <c r="A4" s="5">
        <v>1</v>
      </c>
      <c r="B4" s="71" t="s">
        <v>62</v>
      </c>
      <c r="C4" s="71" t="s">
        <v>63</v>
      </c>
      <c r="D4" s="5" t="s">
        <v>12</v>
      </c>
      <c r="E4" s="5" t="s">
        <v>12</v>
      </c>
      <c r="F4" s="47">
        <v>5</v>
      </c>
      <c r="G4" s="23">
        <v>150</v>
      </c>
      <c r="H4" s="72">
        <f>F4*G4</f>
        <v>750</v>
      </c>
      <c r="I4" s="72">
        <v>5</v>
      </c>
      <c r="J4" s="72">
        <v>6</v>
      </c>
      <c r="K4" s="72">
        <v>7</v>
      </c>
      <c r="L4" s="72">
        <f>H4</f>
        <v>750</v>
      </c>
      <c r="M4" s="72">
        <f>ROUND((L4*I4)/100,2)</f>
        <v>37.5</v>
      </c>
      <c r="N4" s="72">
        <f>H4-M4</f>
        <v>712.5</v>
      </c>
      <c r="O4" s="72">
        <f>ROUND((N4*J4)/100,2)</f>
        <v>42.75</v>
      </c>
      <c r="P4" s="72">
        <f>ROUND(N4-O4,2)</f>
        <v>669.75</v>
      </c>
      <c r="Q4" s="72">
        <f>ROUND((P4*K4)/100,2)</f>
        <v>46.88</v>
      </c>
      <c r="R4" s="23">
        <f>M4+O4+Q4</f>
        <v>127.13</v>
      </c>
      <c r="S4" s="23">
        <f>(H4-R4)</f>
        <v>622.87</v>
      </c>
      <c r="T4" s="23" t="s">
        <v>57</v>
      </c>
      <c r="U4" s="72">
        <v>0</v>
      </c>
      <c r="V4" s="72">
        <f>IF($C$2=1,ROUND(((S4*(U4/100))/2),2),0)</f>
        <v>0</v>
      </c>
      <c r="W4" s="72">
        <f>IF($C$2=1,ROUND(((S4*(U4/100))/2),2),0)</f>
        <v>0</v>
      </c>
      <c r="X4" s="72">
        <f>IF($C$2=2,ROUND(((S4*U4)),2),0)</f>
        <v>0</v>
      </c>
      <c r="Y4" s="72">
        <f>V4+W4+X4</f>
        <v>0</v>
      </c>
      <c r="Z4" s="23">
        <f>S4+Y4</f>
        <v>622.87</v>
      </c>
      <c r="AA4" s="23">
        <v>120</v>
      </c>
      <c r="AB4" s="23" t="e">
        <f>IF($P$2=1,(S4/$S$6)*#REF!,AA4/$AA$6*#REF!)</f>
        <v>#REF!</v>
      </c>
      <c r="AC4" s="23"/>
      <c r="AD4" s="23" t="e">
        <f>IF($P$2=1,(S4/$S$6)*#REF!,AA4/$AA$6*#REF!)</f>
        <v>#REF!</v>
      </c>
      <c r="AE4" s="23" t="e">
        <f>IF($P$2=1,(S4/$S$6)*#REF!,AA4/$AA$6*#REF!)</f>
        <v>#REF!</v>
      </c>
      <c r="AF4" s="23">
        <f>S4*$M$2</f>
        <v>622.87</v>
      </c>
      <c r="AG4" s="23">
        <f>IF($C$2=3,0,AD4+AE4)</f>
        <v>0</v>
      </c>
      <c r="AH4" s="23" t="e">
        <f>IF($C$2=3,AB4+AD4+AE4,0)</f>
        <v>#REF!</v>
      </c>
      <c r="AI4" s="47">
        <v>1</v>
      </c>
      <c r="AJ4" s="23">
        <f>F4/AI4</f>
        <v>5</v>
      </c>
      <c r="AK4" s="23">
        <f>AF4/AJ4</f>
        <v>124.574</v>
      </c>
      <c r="AL4" s="23">
        <f>AG4/AJ4</f>
        <v>0</v>
      </c>
      <c r="AM4" s="23" t="e">
        <f>AH4/AJ4</f>
        <v>#REF!</v>
      </c>
      <c r="AN4" s="23" t="s">
        <v>12</v>
      </c>
      <c r="AO4" s="23" t="e">
        <f>AK4+AL4+AM4</f>
        <v>#REF!</v>
      </c>
    </row>
    <row r="5" spans="1:41" ht="15">
      <c r="A5" s="5">
        <v>2</v>
      </c>
      <c r="B5" s="73" t="s">
        <v>64</v>
      </c>
      <c r="C5" s="73" t="s">
        <v>64</v>
      </c>
      <c r="D5" s="5" t="s">
        <v>12</v>
      </c>
      <c r="E5" s="5" t="s">
        <v>12</v>
      </c>
      <c r="F5" s="47">
        <v>6</v>
      </c>
      <c r="G5" s="23">
        <v>200</v>
      </c>
      <c r="H5" s="72">
        <f>F5*G5</f>
        <v>1200</v>
      </c>
      <c r="I5" s="72">
        <v>3</v>
      </c>
      <c r="J5" s="72">
        <v>2</v>
      </c>
      <c r="K5" s="72">
        <v>1</v>
      </c>
      <c r="L5" s="72">
        <f>H5</f>
        <v>1200</v>
      </c>
      <c r="M5" s="72">
        <f>ROUND((L5*I5)/100,2)</f>
        <v>36</v>
      </c>
      <c r="N5" s="72">
        <f>H5-M5</f>
        <v>1164</v>
      </c>
      <c r="O5" s="72">
        <f>ROUND((N5*J5)/100,2)</f>
        <v>23.28</v>
      </c>
      <c r="P5" s="72">
        <f>ROUND(N5-O5,2)</f>
        <v>1140.72</v>
      </c>
      <c r="Q5" s="72">
        <f>ROUND((P5*K5)/100,2)</f>
        <v>11.41</v>
      </c>
      <c r="R5" s="23">
        <f>M5+O5+Q5</f>
        <v>70.69</v>
      </c>
      <c r="S5" s="23">
        <f>(H5-R5)</f>
        <v>1129.31</v>
      </c>
      <c r="T5" s="23" t="s">
        <v>57</v>
      </c>
      <c r="U5" s="72">
        <v>0</v>
      </c>
      <c r="V5" s="72">
        <f>IF($C$2=1,ROUND(((S5*(U5/100))/2),2),0)</f>
        <v>0</v>
      </c>
      <c r="W5" s="72">
        <f>IF($C$2=1,ROUND(((S5*(U5/100))/2),2),0)</f>
        <v>0</v>
      </c>
      <c r="X5" s="72">
        <f>IF($C$2=2,ROUND(((S5*U5)),2),0)</f>
        <v>0</v>
      </c>
      <c r="Y5" s="72">
        <f>V5+W5+X5</f>
        <v>0</v>
      </c>
      <c r="Z5" s="23">
        <f>S5+Y5</f>
        <v>1129.31</v>
      </c>
      <c r="AA5" s="23">
        <v>200</v>
      </c>
      <c r="AB5" s="23" t="e">
        <f>IF($P$2=1,(S5/$S$6)*#REF!,AA5/$AA$6*#REF!)</f>
        <v>#REF!</v>
      </c>
      <c r="AC5" s="23"/>
      <c r="AD5" s="23" t="e">
        <f>IF($P$2=1,(S5/$S$6)*#REF!,AA5/$AA$6*#REF!)</f>
        <v>#REF!</v>
      </c>
      <c r="AE5" s="23" t="e">
        <f>IF($P$2=1,(S5/$S$6)*#REF!,AA5/$AA$6*#REF!)</f>
        <v>#REF!</v>
      </c>
      <c r="AF5" s="23">
        <f>S5*$M$2</f>
        <v>1129.31</v>
      </c>
      <c r="AG5" s="23">
        <f>IF($C$2=3,0,AD5+AE5)</f>
        <v>0</v>
      </c>
      <c r="AH5" s="23" t="e">
        <f>IF($C$2=3,AB5+AD5+AE5,0)</f>
        <v>#REF!</v>
      </c>
      <c r="AI5" s="47">
        <v>1</v>
      </c>
      <c r="AJ5" s="23">
        <f>F5/AI5</f>
        <v>6</v>
      </c>
      <c r="AK5" s="23">
        <f>AF5/AJ5</f>
        <v>188.21833333333299</v>
      </c>
      <c r="AL5" s="23">
        <f>AG5/AJ5</f>
        <v>0</v>
      </c>
      <c r="AM5" s="23" t="e">
        <f>AH5/AJ5</f>
        <v>#REF!</v>
      </c>
      <c r="AN5" s="23" t="s">
        <v>12</v>
      </c>
      <c r="AO5" s="23" t="e">
        <f>AK5+AL5+AM5</f>
        <v>#REF!</v>
      </c>
    </row>
    <row r="6" spans="1:41">
      <c r="B6" s="81" t="s">
        <v>14</v>
      </c>
      <c r="C6" s="81"/>
      <c r="D6" s="81"/>
      <c r="E6" s="81"/>
      <c r="F6" s="81"/>
      <c r="G6" s="81"/>
      <c r="H6" s="74">
        <f>SUM(H4:H5)</f>
        <v>1950</v>
      </c>
      <c r="I6" s="5"/>
      <c r="J6" s="5"/>
      <c r="K6" s="5"/>
      <c r="L6" s="5"/>
      <c r="M6" s="5"/>
      <c r="N6" s="5"/>
      <c r="O6" s="5"/>
      <c r="P6" s="5"/>
      <c r="Q6" s="5"/>
      <c r="R6" s="7">
        <f t="shared" ref="R6:AB6" si="0">SUM(R4:R5)</f>
        <v>197.82</v>
      </c>
      <c r="S6" s="7">
        <f t="shared" si="0"/>
        <v>1752.18</v>
      </c>
      <c r="T6" s="7"/>
      <c r="U6" s="7"/>
      <c r="V6" s="48">
        <f t="shared" si="0"/>
        <v>0</v>
      </c>
      <c r="W6" s="48">
        <f t="shared" si="0"/>
        <v>0</v>
      </c>
      <c r="X6" s="48">
        <f t="shared" si="0"/>
        <v>0</v>
      </c>
      <c r="Y6" s="7">
        <f t="shared" si="0"/>
        <v>0</v>
      </c>
      <c r="Z6" s="18">
        <f t="shared" si="0"/>
        <v>1752.18</v>
      </c>
      <c r="AA6" s="69">
        <f t="shared" si="0"/>
        <v>320</v>
      </c>
      <c r="AB6" s="69" t="e">
        <f t="shared" si="0"/>
        <v>#REF!</v>
      </c>
      <c r="AC6" s="18"/>
      <c r="AD6" s="69" t="e">
        <f t="shared" ref="AD6:AH6" si="1">SUM(AD4:AD5)</f>
        <v>#REF!</v>
      </c>
      <c r="AE6" s="69" t="e">
        <f t="shared" si="1"/>
        <v>#REF!</v>
      </c>
      <c r="AF6" s="69">
        <f t="shared" si="1"/>
        <v>1752.18</v>
      </c>
      <c r="AG6" s="69">
        <f t="shared" si="1"/>
        <v>0</v>
      </c>
      <c r="AH6" s="69" t="e">
        <f t="shared" si="1"/>
        <v>#REF!</v>
      </c>
      <c r="AI6" s="18"/>
      <c r="AJ6" s="18"/>
      <c r="AK6" s="18"/>
      <c r="AL6" s="18"/>
      <c r="AM6" s="18"/>
      <c r="AN6" s="18"/>
      <c r="AO6" s="18"/>
    </row>
  </sheetData>
  <mergeCells count="2">
    <mergeCell ref="A2:B2"/>
    <mergeCell ref="B6:G6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O72"/>
  <sheetViews>
    <sheetView showGridLines="0" workbookViewId="0">
      <selection activeCell="O8" sqref="O8"/>
    </sheetView>
  </sheetViews>
  <sheetFormatPr defaultColWidth="9.140625" defaultRowHeight="14.25"/>
  <cols>
    <col min="1" max="1" width="5.7109375" style="2" customWidth="1"/>
    <col min="2" max="2" width="8.28515625" style="2" customWidth="1"/>
    <col min="3" max="3" width="20.28515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1" ht="27.7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1" ht="27.75" customHeigh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ht="27.75" customHeight="1">
      <c r="A4" s="29">
        <v>1</v>
      </c>
      <c r="B4" s="30" t="s">
        <v>67</v>
      </c>
      <c r="C4" s="30" t="s">
        <v>68</v>
      </c>
      <c r="D4" s="30" t="s">
        <v>12</v>
      </c>
      <c r="E4" s="30" t="s">
        <v>12</v>
      </c>
      <c r="F4" s="31">
        <v>25</v>
      </c>
      <c r="G4" s="32">
        <v>257.63</v>
      </c>
      <c r="H4" s="33">
        <f>F4*G4</f>
        <v>6440.75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 spans="1:41" ht="27.75" customHeight="1">
      <c r="A5" s="29">
        <v>2</v>
      </c>
      <c r="B5" s="30" t="s">
        <v>69</v>
      </c>
      <c r="C5" s="30" t="s">
        <v>70</v>
      </c>
      <c r="D5" s="30" t="s">
        <v>12</v>
      </c>
      <c r="E5" s="30" t="s">
        <v>12</v>
      </c>
      <c r="F5" s="31">
        <v>35</v>
      </c>
      <c r="G5" s="32">
        <v>125.45</v>
      </c>
      <c r="H5" s="33">
        <f>F5*G5</f>
        <v>4390.75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spans="1:41" ht="27.75" customHeight="1">
      <c r="A6" s="29">
        <v>3</v>
      </c>
      <c r="B6" s="30" t="s">
        <v>71</v>
      </c>
      <c r="C6" s="30" t="s">
        <v>72</v>
      </c>
      <c r="D6" s="30" t="s">
        <v>12</v>
      </c>
      <c r="E6" s="30" t="s">
        <v>12</v>
      </c>
      <c r="F6" s="31">
        <v>45</v>
      </c>
      <c r="G6" s="32">
        <v>125.36</v>
      </c>
      <c r="H6" s="33">
        <f>F6*G6</f>
        <v>5641.2</v>
      </c>
      <c r="I6" s="55"/>
      <c r="J6" s="55"/>
      <c r="K6" s="55"/>
      <c r="L6" s="56"/>
      <c r="M6" s="56"/>
      <c r="N6" s="56"/>
      <c r="O6" s="56"/>
      <c r="P6" s="56"/>
      <c r="Q6" s="56"/>
      <c r="R6" s="56"/>
      <c r="S6" s="56"/>
      <c r="T6" s="56"/>
      <c r="U6" s="55"/>
      <c r="V6" s="55"/>
      <c r="W6" s="55"/>
      <c r="X6" s="55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 spans="1:41" ht="27.75" customHeight="1">
      <c r="A7" s="29">
        <v>4</v>
      </c>
      <c r="B7" s="30" t="s">
        <v>73</v>
      </c>
      <c r="C7" s="30" t="s">
        <v>74</v>
      </c>
      <c r="D7" s="30" t="s">
        <v>12</v>
      </c>
      <c r="E7" s="30" t="s">
        <v>12</v>
      </c>
      <c r="F7" s="31">
        <v>55</v>
      </c>
      <c r="G7" s="32">
        <v>45.25</v>
      </c>
      <c r="H7" s="33">
        <f t="shared" ref="H7:H18" si="0">F7*G7</f>
        <v>2488.75</v>
      </c>
      <c r="I7" s="55"/>
      <c r="J7" s="55"/>
      <c r="K7" s="55"/>
      <c r="L7" s="56"/>
      <c r="M7" s="56"/>
      <c r="N7" s="56"/>
      <c r="O7" s="56"/>
      <c r="P7" s="56"/>
      <c r="Q7" s="56"/>
      <c r="R7" s="56"/>
      <c r="S7" s="56"/>
      <c r="T7" s="56"/>
      <c r="U7" s="55"/>
      <c r="V7" s="55"/>
      <c r="W7" s="55"/>
      <c r="X7" s="55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 spans="1:41" ht="27.75" customHeight="1">
      <c r="A8" s="29">
        <v>5</v>
      </c>
      <c r="B8" s="30" t="s">
        <v>75</v>
      </c>
      <c r="C8" s="30" t="s">
        <v>76</v>
      </c>
      <c r="D8" s="30" t="s">
        <v>12</v>
      </c>
      <c r="E8" s="30" t="s">
        <v>12</v>
      </c>
      <c r="F8" s="31">
        <v>60</v>
      </c>
      <c r="G8" s="32">
        <v>45.5</v>
      </c>
      <c r="H8" s="33">
        <f t="shared" si="0"/>
        <v>2730</v>
      </c>
      <c r="I8" s="55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5"/>
      <c r="V8" s="55"/>
      <c r="W8" s="55"/>
      <c r="X8" s="55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</row>
    <row r="9" spans="1:41" ht="27.75" customHeight="1">
      <c r="A9" s="29">
        <v>6</v>
      </c>
      <c r="B9" s="30" t="s">
        <v>77</v>
      </c>
      <c r="C9" s="30" t="s">
        <v>78</v>
      </c>
      <c r="D9" s="30" t="s">
        <v>12</v>
      </c>
      <c r="E9" s="30" t="s">
        <v>12</v>
      </c>
      <c r="F9" s="31">
        <v>75</v>
      </c>
      <c r="G9" s="32">
        <v>125.25</v>
      </c>
      <c r="H9" s="33">
        <f t="shared" si="0"/>
        <v>9393.75</v>
      </c>
      <c r="I9" s="55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5"/>
      <c r="V9" s="55"/>
      <c r="W9" s="55"/>
      <c r="X9" s="55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</row>
    <row r="10" spans="1:41" ht="27.75" customHeight="1">
      <c r="A10" s="29">
        <v>7</v>
      </c>
      <c r="B10" s="30" t="s">
        <v>79</v>
      </c>
      <c r="C10" s="30" t="s">
        <v>80</v>
      </c>
      <c r="D10" s="30" t="s">
        <v>12</v>
      </c>
      <c r="E10" s="30" t="s">
        <v>12</v>
      </c>
      <c r="F10" s="31">
        <v>28</v>
      </c>
      <c r="G10" s="32">
        <v>150.5</v>
      </c>
      <c r="H10" s="33">
        <f t="shared" si="0"/>
        <v>4214</v>
      </c>
      <c r="I10" s="55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5"/>
      <c r="V10" s="55"/>
      <c r="W10" s="55"/>
      <c r="X10" s="55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</row>
    <row r="11" spans="1:41" ht="27.75" customHeight="1">
      <c r="A11" s="29">
        <v>8</v>
      </c>
      <c r="B11" s="30" t="s">
        <v>81</v>
      </c>
      <c r="C11" s="30" t="s">
        <v>82</v>
      </c>
      <c r="D11" s="30" t="s">
        <v>12</v>
      </c>
      <c r="E11" s="30" t="s">
        <v>12</v>
      </c>
      <c r="F11" s="31">
        <v>30</v>
      </c>
      <c r="G11" s="32">
        <v>65.319999999999993</v>
      </c>
      <c r="H11" s="33">
        <f t="shared" si="0"/>
        <v>1959.6</v>
      </c>
      <c r="I11" s="55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5"/>
      <c r="V11" s="55"/>
      <c r="W11" s="55"/>
      <c r="X11" s="55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</row>
    <row r="12" spans="1:41" ht="27.75" customHeight="1">
      <c r="A12" s="29">
        <v>9</v>
      </c>
      <c r="B12" s="30" t="s">
        <v>83</v>
      </c>
      <c r="C12" s="30" t="s">
        <v>84</v>
      </c>
      <c r="D12" s="30" t="s">
        <v>12</v>
      </c>
      <c r="E12" s="30" t="s">
        <v>12</v>
      </c>
      <c r="F12" s="31">
        <v>25</v>
      </c>
      <c r="G12" s="32">
        <v>74.89</v>
      </c>
      <c r="H12" s="33">
        <f t="shared" si="0"/>
        <v>1872.25</v>
      </c>
      <c r="I12" s="55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5"/>
      <c r="V12" s="55"/>
      <c r="W12" s="55"/>
      <c r="X12" s="55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</row>
    <row r="13" spans="1:41" ht="27.75" customHeight="1">
      <c r="A13" s="29">
        <v>10</v>
      </c>
      <c r="B13" s="30" t="s">
        <v>85</v>
      </c>
      <c r="C13" s="30" t="s">
        <v>86</v>
      </c>
      <c r="D13" s="30" t="s">
        <v>12</v>
      </c>
      <c r="E13" s="30" t="s">
        <v>12</v>
      </c>
      <c r="F13" s="31">
        <v>28</v>
      </c>
      <c r="G13" s="32">
        <v>89.56</v>
      </c>
      <c r="H13" s="33">
        <f t="shared" si="0"/>
        <v>2507.6799999999998</v>
      </c>
      <c r="I13" s="55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5"/>
      <c r="V13" s="55"/>
      <c r="W13" s="55"/>
      <c r="X13" s="55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</row>
    <row r="14" spans="1:41" ht="27.75" customHeight="1">
      <c r="A14" s="29">
        <v>11</v>
      </c>
      <c r="B14" s="30" t="s">
        <v>87</v>
      </c>
      <c r="C14" s="30" t="s">
        <v>88</v>
      </c>
      <c r="D14" s="30" t="s">
        <v>12</v>
      </c>
      <c r="E14" s="30" t="s">
        <v>12</v>
      </c>
      <c r="F14" s="31">
        <v>37</v>
      </c>
      <c r="G14" s="32">
        <v>89.54</v>
      </c>
      <c r="H14" s="33">
        <f t="shared" si="0"/>
        <v>3312.98</v>
      </c>
      <c r="I14" s="55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5"/>
      <c r="V14" s="55"/>
      <c r="W14" s="55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</row>
    <row r="15" spans="1:41" ht="27.75" customHeight="1">
      <c r="A15" s="29">
        <v>12</v>
      </c>
      <c r="B15" s="30" t="s">
        <v>89</v>
      </c>
      <c r="C15" s="30" t="s">
        <v>90</v>
      </c>
      <c r="D15" s="30" t="s">
        <v>12</v>
      </c>
      <c r="E15" s="30" t="s">
        <v>12</v>
      </c>
      <c r="F15" s="31">
        <v>39</v>
      </c>
      <c r="G15" s="32">
        <v>98.25</v>
      </c>
      <c r="H15" s="33">
        <f t="shared" si="0"/>
        <v>3831.75</v>
      </c>
      <c r="I15" s="55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5"/>
      <c r="V15" s="55"/>
      <c r="W15" s="55"/>
      <c r="X15" s="55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</row>
    <row r="16" spans="1:41" ht="27.75" customHeight="1">
      <c r="A16" s="29">
        <v>13</v>
      </c>
      <c r="B16" s="30" t="s">
        <v>91</v>
      </c>
      <c r="C16" s="30" t="s">
        <v>92</v>
      </c>
      <c r="D16" s="30" t="s">
        <v>12</v>
      </c>
      <c r="E16" s="30" t="s">
        <v>12</v>
      </c>
      <c r="F16" s="31">
        <v>70</v>
      </c>
      <c r="G16" s="32">
        <v>102.25</v>
      </c>
      <c r="H16" s="33">
        <f t="shared" si="0"/>
        <v>7157.5</v>
      </c>
      <c r="I16" s="55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5"/>
      <c r="V16" s="55"/>
      <c r="W16" s="55"/>
      <c r="X16" s="55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</row>
    <row r="17" spans="1:41" ht="27.75" customHeight="1">
      <c r="A17" s="29">
        <v>14</v>
      </c>
      <c r="B17" s="30" t="s">
        <v>93</v>
      </c>
      <c r="C17" s="30" t="s">
        <v>94</v>
      </c>
      <c r="D17" s="30" t="s">
        <v>12</v>
      </c>
      <c r="E17" s="30" t="s">
        <v>12</v>
      </c>
      <c r="F17" s="31">
        <v>100</v>
      </c>
      <c r="G17" s="32">
        <v>103.5</v>
      </c>
      <c r="H17" s="33">
        <f t="shared" si="0"/>
        <v>10350</v>
      </c>
      <c r="I17" s="55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5"/>
      <c r="V17" s="55"/>
      <c r="W17" s="55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</row>
    <row r="18" spans="1:41" ht="27.75" customHeight="1">
      <c r="A18" s="34">
        <v>15</v>
      </c>
      <c r="B18" s="35" t="s">
        <v>95</v>
      </c>
      <c r="C18" s="35" t="s">
        <v>96</v>
      </c>
      <c r="D18" s="35" t="s">
        <v>12</v>
      </c>
      <c r="E18" s="35" t="s">
        <v>12</v>
      </c>
      <c r="F18" s="36">
        <v>85</v>
      </c>
      <c r="G18" s="37">
        <v>65.48</v>
      </c>
      <c r="H18" s="38">
        <f t="shared" si="0"/>
        <v>5565.8</v>
      </c>
      <c r="I18" s="55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5"/>
      <c r="V18" s="55"/>
      <c r="W18" s="55"/>
      <c r="X18" s="55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</row>
    <row r="19" spans="1:41">
      <c r="B19" s="84" t="s">
        <v>14</v>
      </c>
      <c r="C19" s="84"/>
      <c r="D19" s="84"/>
      <c r="E19" s="84"/>
      <c r="F19" s="84"/>
      <c r="G19" s="84"/>
      <c r="H19" s="39">
        <f>SUM(H4:H18)</f>
        <v>71856.759999999995</v>
      </c>
      <c r="I19" s="20"/>
      <c r="J19" s="20"/>
      <c r="K19" s="20"/>
      <c r="L19" s="20"/>
      <c r="M19" s="20"/>
      <c r="N19" s="20"/>
      <c r="O19" s="20"/>
      <c r="P19" s="20"/>
      <c r="Q19" s="2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</row>
    <row r="20" spans="1:41" ht="27.75" customHeight="1">
      <c r="A20" s="40" t="s">
        <v>15</v>
      </c>
      <c r="B20" s="41"/>
      <c r="C20" s="41"/>
      <c r="D20" s="41"/>
      <c r="E20" s="41"/>
      <c r="F20" s="41"/>
      <c r="G20" s="41"/>
      <c r="H20" s="40"/>
      <c r="I20" s="57"/>
      <c r="J20" s="57"/>
      <c r="K20" s="57"/>
      <c r="L20" s="57"/>
      <c r="M20" s="57"/>
      <c r="N20" s="57"/>
      <c r="O20" s="57"/>
      <c r="P20" s="57"/>
      <c r="Q20" s="57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</row>
    <row r="21" spans="1:41" ht="19.899999999999999" customHeight="1">
      <c r="A21" s="82" t="s">
        <v>16</v>
      </c>
      <c r="B21" s="82"/>
      <c r="C21" s="42">
        <v>2</v>
      </c>
      <c r="D21" s="43" t="s">
        <v>17</v>
      </c>
      <c r="E21" s="41"/>
      <c r="F21" s="41"/>
      <c r="G21" s="41"/>
      <c r="H21" s="40"/>
      <c r="I21" s="57" t="s">
        <v>18</v>
      </c>
      <c r="J21" s="57" t="s">
        <v>19</v>
      </c>
      <c r="K21" s="57"/>
      <c r="L21" s="57" t="s">
        <v>20</v>
      </c>
      <c r="M21" s="57">
        <v>1</v>
      </c>
      <c r="N21" s="57"/>
      <c r="O21" s="57" t="s">
        <v>21</v>
      </c>
      <c r="P21" s="57">
        <v>2</v>
      </c>
      <c r="Q21" s="57" t="s">
        <v>22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</row>
    <row r="22" spans="1:41" s="1" customFormat="1" ht="42.75">
      <c r="A22" s="44" t="s">
        <v>2</v>
      </c>
      <c r="B22" s="44" t="s">
        <v>3</v>
      </c>
      <c r="C22" s="45" t="s">
        <v>4</v>
      </c>
      <c r="D22" s="44" t="s">
        <v>5</v>
      </c>
      <c r="E22" s="44" t="s">
        <v>6</v>
      </c>
      <c r="F22" s="46" t="s">
        <v>23</v>
      </c>
      <c r="G22" s="44" t="s">
        <v>8</v>
      </c>
      <c r="H22" s="44" t="s">
        <v>9</v>
      </c>
      <c r="I22" s="58" t="s">
        <v>24</v>
      </c>
      <c r="J22" s="58" t="s">
        <v>25</v>
      </c>
      <c r="K22" s="58" t="s">
        <v>26</v>
      </c>
      <c r="L22" s="59" t="s">
        <v>27</v>
      </c>
      <c r="M22" s="59" t="s">
        <v>28</v>
      </c>
      <c r="N22" s="59" t="s">
        <v>29</v>
      </c>
      <c r="O22" s="59" t="s">
        <v>30</v>
      </c>
      <c r="P22" s="59" t="s">
        <v>31</v>
      </c>
      <c r="Q22" s="59" t="s">
        <v>32</v>
      </c>
      <c r="R22" s="58" t="s">
        <v>33</v>
      </c>
      <c r="S22" s="44" t="s">
        <v>34</v>
      </c>
      <c r="T22" s="44" t="s">
        <v>35</v>
      </c>
      <c r="U22" s="63" t="s">
        <v>36</v>
      </c>
      <c r="V22" s="63" t="s">
        <v>37</v>
      </c>
      <c r="W22" s="63" t="s">
        <v>38</v>
      </c>
      <c r="X22" s="63" t="s">
        <v>39</v>
      </c>
      <c r="Y22" s="63" t="s">
        <v>40</v>
      </c>
      <c r="Z22" s="67" t="s">
        <v>41</v>
      </c>
      <c r="AA22" s="67" t="s">
        <v>42</v>
      </c>
      <c r="AB22" s="68" t="s">
        <v>43</v>
      </c>
      <c r="AC22" s="68" t="s">
        <v>44</v>
      </c>
      <c r="AD22" s="68" t="s">
        <v>45</v>
      </c>
      <c r="AE22" s="67" t="s">
        <v>46</v>
      </c>
      <c r="AF22" s="67" t="s">
        <v>47</v>
      </c>
      <c r="AG22" s="68" t="s">
        <v>48</v>
      </c>
      <c r="AH22" s="68" t="s">
        <v>49</v>
      </c>
      <c r="AI22" s="67" t="s">
        <v>50</v>
      </c>
      <c r="AJ22" s="67" t="s">
        <v>51</v>
      </c>
      <c r="AK22" s="68" t="s">
        <v>52</v>
      </c>
      <c r="AL22" s="68" t="s">
        <v>53</v>
      </c>
      <c r="AM22" s="68" t="s">
        <v>54</v>
      </c>
      <c r="AN22" s="67" t="s">
        <v>55</v>
      </c>
      <c r="AO22" s="70" t="s">
        <v>56</v>
      </c>
    </row>
    <row r="23" spans="1:41">
      <c r="A23" s="5">
        <v>1</v>
      </c>
      <c r="B23" s="5" t="s">
        <v>67</v>
      </c>
      <c r="C23" s="5" t="s">
        <v>68</v>
      </c>
      <c r="D23" s="5" t="s">
        <v>12</v>
      </c>
      <c r="E23" s="5" t="s">
        <v>12</v>
      </c>
      <c r="F23" s="47">
        <v>25</v>
      </c>
      <c r="G23" s="23">
        <v>250.25</v>
      </c>
      <c r="H23" s="23">
        <f>F23*G23</f>
        <v>6256.25</v>
      </c>
      <c r="I23" s="9">
        <v>2.2100000000000002E-2</v>
      </c>
      <c r="J23" s="9">
        <v>1.7899999999999999E-2</v>
      </c>
      <c r="K23" s="9">
        <v>2.5000000000000001E-2</v>
      </c>
      <c r="L23" s="23">
        <f>H23</f>
        <v>6256.25</v>
      </c>
      <c r="M23" s="23">
        <f>ROUND(L23*I23,2)</f>
        <v>138.26</v>
      </c>
      <c r="N23" s="23">
        <f>H23-M23</f>
        <v>6117.99</v>
      </c>
      <c r="O23" s="23">
        <f>ROUND(N23*J23,2)</f>
        <v>109.51</v>
      </c>
      <c r="P23" s="23">
        <f>ROUND(N23-O23,2)</f>
        <v>6008.48</v>
      </c>
      <c r="Q23" s="23">
        <f>ROUND(P23*K23,2)</f>
        <v>150.21</v>
      </c>
      <c r="R23" s="23">
        <f>M23+O23+Q23</f>
        <v>397.98</v>
      </c>
      <c r="S23" s="23">
        <f>(H23-R23)</f>
        <v>5858.27</v>
      </c>
      <c r="T23" s="23" t="s">
        <v>57</v>
      </c>
      <c r="U23" s="9">
        <v>0.18</v>
      </c>
      <c r="V23" s="23">
        <f>IF($C$21=1,ROUND(((S23*U23)/2),2),0)</f>
        <v>0</v>
      </c>
      <c r="W23" s="23">
        <f>IF($C$21=1,ROUND(((S23*U23)/2),2),0)</f>
        <v>0</v>
      </c>
      <c r="X23" s="23">
        <f>IF($C$21=2,ROUND(((S23*U23)),2),0)</f>
        <v>1054.49</v>
      </c>
      <c r="Y23" s="23">
        <f>V23+W23+X23</f>
        <v>1054.49</v>
      </c>
      <c r="Z23" s="23">
        <f t="shared" ref="Z23:Z37" si="1">S23+Y23</f>
        <v>6912.76</v>
      </c>
      <c r="AA23" s="23">
        <v>120</v>
      </c>
      <c r="AB23" s="23">
        <f>IF($P$21=1,(S23/$S$38)*$E$49,AA23/$AA$38*$E$49)</f>
        <v>463.32046332046298</v>
      </c>
      <c r="AC23" s="23"/>
      <c r="AD23" s="23">
        <f>IF($P$21=1,(S23/$S$38)*$E$51,AA23/$AA$38*$E$51)</f>
        <v>308.88030888030897</v>
      </c>
      <c r="AE23" s="23">
        <f>IF($P$21=1,(S23/$S$38)*$E$51,AA23/$AA$38*$E$51)</f>
        <v>308.88030888030897</v>
      </c>
      <c r="AF23" s="23">
        <f t="shared" ref="AF23:AF37" si="2">S23*$M$21</f>
        <v>5858.27</v>
      </c>
      <c r="AG23" s="23">
        <f>IF($C$21=3,0,AD23+AE23)</f>
        <v>617.76061776061795</v>
      </c>
      <c r="AH23" s="23">
        <f t="shared" ref="AH23:AH37" si="3">IF($C$21=3,AB23+AD23+AE23,0)</f>
        <v>0</v>
      </c>
      <c r="AI23" s="47">
        <v>1</v>
      </c>
      <c r="AJ23" s="23">
        <f t="shared" ref="AJ23:AJ37" si="4">F23/AI23</f>
        <v>25</v>
      </c>
      <c r="AK23" s="23">
        <f>AF23/AJ23</f>
        <v>234.33080000000001</v>
      </c>
      <c r="AL23" s="23">
        <f>AG23/AJ23</f>
        <v>24.7104247104247</v>
      </c>
      <c r="AM23" s="23">
        <f>AH23/AJ23</f>
        <v>0</v>
      </c>
      <c r="AN23" s="23" t="s">
        <v>12</v>
      </c>
      <c r="AO23" s="23">
        <f>AK23+AL23+AM23</f>
        <v>259.04122471042501</v>
      </c>
    </row>
    <row r="24" spans="1:41">
      <c r="A24" s="5">
        <v>2</v>
      </c>
      <c r="B24" s="5" t="s">
        <v>69</v>
      </c>
      <c r="C24" s="5" t="s">
        <v>70</v>
      </c>
      <c r="D24" s="5" t="s">
        <v>12</v>
      </c>
      <c r="E24" s="5" t="s">
        <v>12</v>
      </c>
      <c r="F24" s="47">
        <v>35</v>
      </c>
      <c r="G24" s="23">
        <v>130.25</v>
      </c>
      <c r="H24" s="23">
        <f t="shared" ref="H24:H37" si="5">F24*G24</f>
        <v>4558.75</v>
      </c>
      <c r="I24" s="9">
        <v>1.2500000000000001E-2</v>
      </c>
      <c r="J24" s="9">
        <v>1.6799999999999999E-2</v>
      </c>
      <c r="K24" s="9">
        <v>2.5000000000000001E-2</v>
      </c>
      <c r="L24" s="23">
        <f>H24</f>
        <v>4558.75</v>
      </c>
      <c r="M24" s="23">
        <f t="shared" ref="M24:M37" si="6">ROUND(L24*I24,2)</f>
        <v>56.98</v>
      </c>
      <c r="N24" s="23">
        <f t="shared" ref="N24:N37" si="7">H24-M24</f>
        <v>4501.7700000000004</v>
      </c>
      <c r="O24" s="23">
        <f t="shared" ref="O24:O37" si="8">ROUND(N24*J24,2)</f>
        <v>75.63</v>
      </c>
      <c r="P24" s="23">
        <f t="shared" ref="P24:P37" si="9">ROUND(N24-O24,2)</f>
        <v>4426.1400000000003</v>
      </c>
      <c r="Q24" s="23">
        <f t="shared" ref="Q24:Q37" si="10">ROUND(P24*K24,2)</f>
        <v>110.65</v>
      </c>
      <c r="R24" s="23">
        <f t="shared" ref="R24:R37" si="11">M24+O24+Q24</f>
        <v>243.26</v>
      </c>
      <c r="S24" s="23">
        <f t="shared" ref="S24:S37" si="12">(H24-R24)</f>
        <v>4315.49</v>
      </c>
      <c r="T24" s="23" t="s">
        <v>57</v>
      </c>
      <c r="U24" s="9">
        <v>0.18</v>
      </c>
      <c r="V24" s="23">
        <f t="shared" ref="V24:V37" si="13">IF($C$21=1,ROUND(((S24*U24)/2),2),0)</f>
        <v>0</v>
      </c>
      <c r="W24" s="23">
        <f t="shared" ref="W24:W37" si="14">IF($C$21=1,ROUND(((S24*U24)/2),2),0)</f>
        <v>0</v>
      </c>
      <c r="X24" s="23">
        <f t="shared" ref="X24:X37" si="15">IF($C$21=2,ROUND(((S24*U24)),2),0)</f>
        <v>776.79</v>
      </c>
      <c r="Y24" s="23">
        <f t="shared" ref="Y24:Y37" si="16">V24+W24+X24</f>
        <v>776.79</v>
      </c>
      <c r="Z24" s="23">
        <f t="shared" si="1"/>
        <v>5092.28</v>
      </c>
      <c r="AA24" s="23">
        <v>200</v>
      </c>
      <c r="AB24" s="23">
        <f t="shared" ref="AB24:AB37" si="17">IF($P$21=1,(S24/$S$38)*$E$49,AA24/$AA$38*$E$49)</f>
        <v>772.20077220077201</v>
      </c>
      <c r="AC24" s="23"/>
      <c r="AD24" s="23">
        <f t="shared" ref="AD24:AD37" si="18">IF($P$21=1,(S24/$S$38)*$E$51,AA24/$AA$38*$E$51)</f>
        <v>514.80051480051497</v>
      </c>
      <c r="AE24" s="23">
        <f t="shared" ref="AE24:AE37" si="19">IF($P$21=1,(S24/$S$38)*$E$51,AA24/$AA$38*$E$51)</f>
        <v>514.80051480051497</v>
      </c>
      <c r="AF24" s="23">
        <f t="shared" si="2"/>
        <v>4315.49</v>
      </c>
      <c r="AG24" s="23">
        <f t="shared" ref="AG24:AG37" si="20">IF($C$21=3,0,AD24+AE24)</f>
        <v>1029.6010296010299</v>
      </c>
      <c r="AH24" s="23">
        <f t="shared" si="3"/>
        <v>0</v>
      </c>
      <c r="AI24" s="47">
        <v>1</v>
      </c>
      <c r="AJ24" s="23">
        <f t="shared" si="4"/>
        <v>35</v>
      </c>
      <c r="AK24" s="23">
        <f t="shared" ref="AK24:AK37" si="21">AF24/AJ24</f>
        <v>123.299714285714</v>
      </c>
      <c r="AL24" s="23">
        <f t="shared" ref="AL24:AL37" si="22">AG24/AJ24</f>
        <v>29.417172274315099</v>
      </c>
      <c r="AM24" s="23">
        <f t="shared" ref="AM24:AM37" si="23">AH24/AJ24</f>
        <v>0</v>
      </c>
      <c r="AN24" s="23" t="s">
        <v>12</v>
      </c>
      <c r="AO24" s="23">
        <f t="shared" ref="AO24:AO37" si="24">AK24+AL24+AM24</f>
        <v>152.716886560029</v>
      </c>
    </row>
    <row r="25" spans="1:41">
      <c r="A25" s="5">
        <v>3</v>
      </c>
      <c r="B25" s="5" t="s">
        <v>71</v>
      </c>
      <c r="C25" s="5" t="s">
        <v>72</v>
      </c>
      <c r="D25" s="5" t="s">
        <v>12</v>
      </c>
      <c r="E25" s="5" t="s">
        <v>12</v>
      </c>
      <c r="F25" s="47">
        <v>45</v>
      </c>
      <c r="G25" s="23">
        <v>130.35</v>
      </c>
      <c r="H25" s="23">
        <f t="shared" si="5"/>
        <v>5865.75</v>
      </c>
      <c r="I25" s="9">
        <v>1.2500000000000001E-2</v>
      </c>
      <c r="J25" s="9">
        <v>2.5000000000000001E-3</v>
      </c>
      <c r="K25" s="9">
        <v>2.5000000000000001E-2</v>
      </c>
      <c r="L25" s="23">
        <f>H25</f>
        <v>5865.75</v>
      </c>
      <c r="M25" s="23">
        <f t="shared" si="6"/>
        <v>73.319999999999993</v>
      </c>
      <c r="N25" s="23">
        <f t="shared" si="7"/>
        <v>5792.43</v>
      </c>
      <c r="O25" s="23">
        <f t="shared" si="8"/>
        <v>14.48</v>
      </c>
      <c r="P25" s="23">
        <f t="shared" si="9"/>
        <v>5777.95</v>
      </c>
      <c r="Q25" s="23">
        <f t="shared" si="10"/>
        <v>144.44999999999999</v>
      </c>
      <c r="R25" s="23">
        <f t="shared" si="11"/>
        <v>232.25</v>
      </c>
      <c r="S25" s="23">
        <f t="shared" si="12"/>
        <v>5633.5</v>
      </c>
      <c r="T25" s="23" t="s">
        <v>57</v>
      </c>
      <c r="U25" s="9">
        <v>0.18</v>
      </c>
      <c r="V25" s="23">
        <f t="shared" si="13"/>
        <v>0</v>
      </c>
      <c r="W25" s="23">
        <f t="shared" si="14"/>
        <v>0</v>
      </c>
      <c r="X25" s="23">
        <f t="shared" si="15"/>
        <v>1014.03</v>
      </c>
      <c r="Y25" s="23">
        <f t="shared" si="16"/>
        <v>1014.03</v>
      </c>
      <c r="Z25" s="23">
        <f t="shared" si="1"/>
        <v>6647.53</v>
      </c>
      <c r="AA25" s="23">
        <v>150</v>
      </c>
      <c r="AB25" s="23">
        <f t="shared" si="17"/>
        <v>579.15057915057901</v>
      </c>
      <c r="AC25" s="23"/>
      <c r="AD25" s="23">
        <f t="shared" si="18"/>
        <v>386.100386100386</v>
      </c>
      <c r="AE25" s="23">
        <f t="shared" si="19"/>
        <v>386.100386100386</v>
      </c>
      <c r="AF25" s="23">
        <f t="shared" si="2"/>
        <v>5633.5</v>
      </c>
      <c r="AG25" s="23">
        <f t="shared" si="20"/>
        <v>772.20077220077201</v>
      </c>
      <c r="AH25" s="23">
        <f t="shared" si="3"/>
        <v>0</v>
      </c>
      <c r="AI25" s="47">
        <v>1</v>
      </c>
      <c r="AJ25" s="23">
        <f t="shared" si="4"/>
        <v>45</v>
      </c>
      <c r="AK25" s="23">
        <f t="shared" si="21"/>
        <v>125.188888888889</v>
      </c>
      <c r="AL25" s="23">
        <f t="shared" si="22"/>
        <v>17.160017160017201</v>
      </c>
      <c r="AM25" s="23">
        <f t="shared" si="23"/>
        <v>0</v>
      </c>
      <c r="AN25" s="23" t="s">
        <v>12</v>
      </c>
      <c r="AO25" s="23">
        <f t="shared" si="24"/>
        <v>142.348906048906</v>
      </c>
    </row>
    <row r="26" spans="1:41">
      <c r="A26" s="5">
        <v>4</v>
      </c>
      <c r="B26" s="5" t="s">
        <v>73</v>
      </c>
      <c r="C26" s="5" t="s">
        <v>74</v>
      </c>
      <c r="D26" s="5" t="s">
        <v>12</v>
      </c>
      <c r="E26" s="5" t="s">
        <v>12</v>
      </c>
      <c r="F26" s="47">
        <v>55</v>
      </c>
      <c r="G26" s="23">
        <v>46.45</v>
      </c>
      <c r="H26" s="23">
        <f t="shared" si="5"/>
        <v>2554.75</v>
      </c>
      <c r="I26" s="9">
        <v>9.4999999999999998E-3</v>
      </c>
      <c r="J26" s="9">
        <v>4.1000000000000003E-3</v>
      </c>
      <c r="K26" s="9">
        <v>2.5000000000000001E-2</v>
      </c>
      <c r="L26" s="23">
        <f t="shared" ref="L26:L37" si="25">H26</f>
        <v>2554.75</v>
      </c>
      <c r="M26" s="23">
        <f t="shared" si="6"/>
        <v>24.27</v>
      </c>
      <c r="N26" s="23">
        <f t="shared" si="7"/>
        <v>2530.48</v>
      </c>
      <c r="O26" s="23">
        <f t="shared" si="8"/>
        <v>10.37</v>
      </c>
      <c r="P26" s="23">
        <f t="shared" si="9"/>
        <v>2520.11</v>
      </c>
      <c r="Q26" s="23">
        <f t="shared" si="10"/>
        <v>63</v>
      </c>
      <c r="R26" s="23">
        <f t="shared" si="11"/>
        <v>97.64</v>
      </c>
      <c r="S26" s="23">
        <f t="shared" si="12"/>
        <v>2457.11</v>
      </c>
      <c r="T26" s="23" t="s">
        <v>57</v>
      </c>
      <c r="U26" s="9">
        <v>0.18</v>
      </c>
      <c r="V26" s="23">
        <f t="shared" si="13"/>
        <v>0</v>
      </c>
      <c r="W26" s="23">
        <f t="shared" si="14"/>
        <v>0</v>
      </c>
      <c r="X26" s="23">
        <f t="shared" si="15"/>
        <v>442.28</v>
      </c>
      <c r="Y26" s="23">
        <f t="shared" si="16"/>
        <v>442.28</v>
      </c>
      <c r="Z26" s="23">
        <f t="shared" si="1"/>
        <v>2899.39</v>
      </c>
      <c r="AA26" s="23">
        <v>300</v>
      </c>
      <c r="AB26" s="23">
        <f t="shared" si="17"/>
        <v>1158.3011583011601</v>
      </c>
      <c r="AC26" s="23"/>
      <c r="AD26" s="23">
        <f t="shared" si="18"/>
        <v>772.20077220077201</v>
      </c>
      <c r="AE26" s="23">
        <f t="shared" si="19"/>
        <v>772.20077220077201</v>
      </c>
      <c r="AF26" s="23">
        <f t="shared" si="2"/>
        <v>2457.11</v>
      </c>
      <c r="AG26" s="23">
        <f t="shared" si="20"/>
        <v>1544.4015444015399</v>
      </c>
      <c r="AH26" s="23">
        <f t="shared" si="3"/>
        <v>0</v>
      </c>
      <c r="AI26" s="47">
        <v>1</v>
      </c>
      <c r="AJ26" s="23">
        <f t="shared" si="4"/>
        <v>55</v>
      </c>
      <c r="AK26" s="23">
        <f t="shared" si="21"/>
        <v>44.674727272727303</v>
      </c>
      <c r="AL26" s="23">
        <f t="shared" si="22"/>
        <v>28.0800280800281</v>
      </c>
      <c r="AM26" s="23">
        <f t="shared" si="23"/>
        <v>0</v>
      </c>
      <c r="AN26" s="23" t="s">
        <v>12</v>
      </c>
      <c r="AO26" s="23">
        <f t="shared" si="24"/>
        <v>72.754755352755396</v>
      </c>
    </row>
    <row r="27" spans="1:41">
      <c r="A27" s="5">
        <v>5</v>
      </c>
      <c r="B27" s="5" t="s">
        <v>75</v>
      </c>
      <c r="C27" s="5" t="s">
        <v>76</v>
      </c>
      <c r="D27" s="5" t="s">
        <v>12</v>
      </c>
      <c r="E27" s="5" t="s">
        <v>12</v>
      </c>
      <c r="F27" s="47">
        <v>60</v>
      </c>
      <c r="G27" s="23">
        <v>47.45</v>
      </c>
      <c r="H27" s="23">
        <f t="shared" si="5"/>
        <v>2847</v>
      </c>
      <c r="I27" s="9">
        <v>2.35E-2</v>
      </c>
      <c r="J27" s="9">
        <v>0.02</v>
      </c>
      <c r="K27" s="9">
        <v>2.5000000000000001E-2</v>
      </c>
      <c r="L27" s="23">
        <f t="shared" si="25"/>
        <v>2847</v>
      </c>
      <c r="M27" s="23">
        <f t="shared" si="6"/>
        <v>66.900000000000006</v>
      </c>
      <c r="N27" s="23">
        <f t="shared" si="7"/>
        <v>2780.1</v>
      </c>
      <c r="O27" s="23">
        <f t="shared" si="8"/>
        <v>55.6</v>
      </c>
      <c r="P27" s="23">
        <f t="shared" si="9"/>
        <v>2724.5</v>
      </c>
      <c r="Q27" s="23">
        <f t="shared" si="10"/>
        <v>68.11</v>
      </c>
      <c r="R27" s="23">
        <f t="shared" si="11"/>
        <v>190.61</v>
      </c>
      <c r="S27" s="23">
        <f t="shared" si="12"/>
        <v>2656.39</v>
      </c>
      <c r="T27" s="23" t="s">
        <v>57</v>
      </c>
      <c r="U27" s="9">
        <v>0.18</v>
      </c>
      <c r="V27" s="23">
        <f t="shared" si="13"/>
        <v>0</v>
      </c>
      <c r="W27" s="23">
        <f t="shared" si="14"/>
        <v>0</v>
      </c>
      <c r="X27" s="23">
        <f t="shared" si="15"/>
        <v>478.15</v>
      </c>
      <c r="Y27" s="23">
        <f t="shared" si="16"/>
        <v>478.15</v>
      </c>
      <c r="Z27" s="23">
        <f t="shared" si="1"/>
        <v>3134.54</v>
      </c>
      <c r="AA27" s="23">
        <v>200</v>
      </c>
      <c r="AB27" s="23">
        <f t="shared" si="17"/>
        <v>772.20077220077201</v>
      </c>
      <c r="AC27" s="23"/>
      <c r="AD27" s="23">
        <f t="shared" si="18"/>
        <v>514.80051480051497</v>
      </c>
      <c r="AE27" s="23">
        <f t="shared" si="19"/>
        <v>514.80051480051497</v>
      </c>
      <c r="AF27" s="23">
        <f t="shared" si="2"/>
        <v>2656.39</v>
      </c>
      <c r="AG27" s="23">
        <f t="shared" si="20"/>
        <v>1029.6010296010299</v>
      </c>
      <c r="AH27" s="23">
        <f t="shared" si="3"/>
        <v>0</v>
      </c>
      <c r="AI27" s="47">
        <v>1</v>
      </c>
      <c r="AJ27" s="23">
        <f t="shared" si="4"/>
        <v>60</v>
      </c>
      <c r="AK27" s="23">
        <f t="shared" si="21"/>
        <v>44.273166666666697</v>
      </c>
      <c r="AL27" s="23">
        <f t="shared" si="22"/>
        <v>17.160017160017201</v>
      </c>
      <c r="AM27" s="23">
        <f t="shared" si="23"/>
        <v>0</v>
      </c>
      <c r="AN27" s="23" t="s">
        <v>12</v>
      </c>
      <c r="AO27" s="23">
        <f t="shared" si="24"/>
        <v>61.433183826683802</v>
      </c>
    </row>
    <row r="28" spans="1:41">
      <c r="A28" s="5">
        <v>6</v>
      </c>
      <c r="B28" s="5" t="s">
        <v>77</v>
      </c>
      <c r="C28" s="5" t="s">
        <v>78</v>
      </c>
      <c r="D28" s="5" t="s">
        <v>12</v>
      </c>
      <c r="E28" s="5" t="s">
        <v>12</v>
      </c>
      <c r="F28" s="47">
        <v>75</v>
      </c>
      <c r="G28" s="23">
        <v>132.25</v>
      </c>
      <c r="H28" s="23">
        <f t="shared" si="5"/>
        <v>9918.75</v>
      </c>
      <c r="I28" s="9">
        <v>0.01</v>
      </c>
      <c r="J28" s="9">
        <v>0.02</v>
      </c>
      <c r="K28" s="9">
        <v>2.5000000000000001E-2</v>
      </c>
      <c r="L28" s="23">
        <f t="shared" si="25"/>
        <v>9918.75</v>
      </c>
      <c r="M28" s="23">
        <f t="shared" si="6"/>
        <v>99.19</v>
      </c>
      <c r="N28" s="23">
        <f t="shared" si="7"/>
        <v>9819.56</v>
      </c>
      <c r="O28" s="23">
        <f t="shared" si="8"/>
        <v>196.39</v>
      </c>
      <c r="P28" s="23">
        <f t="shared" si="9"/>
        <v>9623.17</v>
      </c>
      <c r="Q28" s="23">
        <f t="shared" si="10"/>
        <v>240.58</v>
      </c>
      <c r="R28" s="23">
        <f t="shared" si="11"/>
        <v>536.16</v>
      </c>
      <c r="S28" s="23">
        <f t="shared" si="12"/>
        <v>9382.59</v>
      </c>
      <c r="T28" s="23" t="s">
        <v>97</v>
      </c>
      <c r="U28" s="9">
        <v>0.12</v>
      </c>
      <c r="V28" s="23">
        <f t="shared" si="13"/>
        <v>0</v>
      </c>
      <c r="W28" s="23">
        <f t="shared" si="14"/>
        <v>0</v>
      </c>
      <c r="X28" s="23">
        <f t="shared" si="15"/>
        <v>1125.9100000000001</v>
      </c>
      <c r="Y28" s="23">
        <f t="shared" si="16"/>
        <v>1125.9100000000001</v>
      </c>
      <c r="Z28" s="23">
        <f t="shared" si="1"/>
        <v>10508.5</v>
      </c>
      <c r="AA28" s="23">
        <v>250</v>
      </c>
      <c r="AB28" s="23">
        <f t="shared" si="17"/>
        <v>965.25096525096501</v>
      </c>
      <c r="AC28" s="23"/>
      <c r="AD28" s="23">
        <f t="shared" si="18"/>
        <v>643.50064350064304</v>
      </c>
      <c r="AE28" s="23">
        <f t="shared" si="19"/>
        <v>643.50064350064304</v>
      </c>
      <c r="AF28" s="23">
        <f t="shared" si="2"/>
        <v>9382.59</v>
      </c>
      <c r="AG28" s="23">
        <f t="shared" si="20"/>
        <v>1287.0012870012899</v>
      </c>
      <c r="AH28" s="23">
        <f t="shared" si="3"/>
        <v>0</v>
      </c>
      <c r="AI28" s="47">
        <v>1</v>
      </c>
      <c r="AJ28" s="23">
        <f t="shared" si="4"/>
        <v>75</v>
      </c>
      <c r="AK28" s="23">
        <f t="shared" si="21"/>
        <v>125.10120000000001</v>
      </c>
      <c r="AL28" s="23">
        <f t="shared" si="22"/>
        <v>17.160017160017201</v>
      </c>
      <c r="AM28" s="23">
        <f t="shared" si="23"/>
        <v>0</v>
      </c>
      <c r="AN28" s="23" t="s">
        <v>12</v>
      </c>
      <c r="AO28" s="23">
        <f t="shared" si="24"/>
        <v>142.261217160017</v>
      </c>
    </row>
    <row r="29" spans="1:41">
      <c r="A29" s="5">
        <v>7</v>
      </c>
      <c r="B29" s="5" t="s">
        <v>79</v>
      </c>
      <c r="C29" s="5" t="s">
        <v>80</v>
      </c>
      <c r="D29" s="5" t="s">
        <v>12</v>
      </c>
      <c r="E29" s="5" t="s">
        <v>12</v>
      </c>
      <c r="F29" s="47">
        <v>28</v>
      </c>
      <c r="G29" s="23">
        <v>157.44999999999999</v>
      </c>
      <c r="H29" s="23">
        <f t="shared" si="5"/>
        <v>4408.6000000000004</v>
      </c>
      <c r="I29" s="9">
        <v>0.01</v>
      </c>
      <c r="J29" s="9">
        <v>0.02</v>
      </c>
      <c r="K29" s="9">
        <v>2.5000000000000001E-2</v>
      </c>
      <c r="L29" s="23">
        <f t="shared" si="25"/>
        <v>4408.6000000000004</v>
      </c>
      <c r="M29" s="23">
        <f t="shared" si="6"/>
        <v>44.09</v>
      </c>
      <c r="N29" s="23">
        <f t="shared" si="7"/>
        <v>4364.51</v>
      </c>
      <c r="O29" s="23">
        <f t="shared" si="8"/>
        <v>87.29</v>
      </c>
      <c r="P29" s="23">
        <f t="shared" si="9"/>
        <v>4277.22</v>
      </c>
      <c r="Q29" s="23">
        <f t="shared" si="10"/>
        <v>106.93</v>
      </c>
      <c r="R29" s="23">
        <f t="shared" si="11"/>
        <v>238.31</v>
      </c>
      <c r="S29" s="23">
        <f t="shared" si="12"/>
        <v>4170.29</v>
      </c>
      <c r="T29" s="23" t="s">
        <v>97</v>
      </c>
      <c r="U29" s="9">
        <v>0.12</v>
      </c>
      <c r="V29" s="23">
        <f t="shared" si="13"/>
        <v>0</v>
      </c>
      <c r="W29" s="23">
        <f t="shared" si="14"/>
        <v>0</v>
      </c>
      <c r="X29" s="23">
        <f t="shared" si="15"/>
        <v>500.43</v>
      </c>
      <c r="Y29" s="23">
        <f t="shared" si="16"/>
        <v>500.43</v>
      </c>
      <c r="Z29" s="23">
        <f t="shared" si="1"/>
        <v>4670.72</v>
      </c>
      <c r="AA29" s="23">
        <v>350</v>
      </c>
      <c r="AB29" s="23">
        <f t="shared" si="17"/>
        <v>1351.3513513513501</v>
      </c>
      <c r="AC29" s="23"/>
      <c r="AD29" s="23">
        <f t="shared" si="18"/>
        <v>900.90090090090098</v>
      </c>
      <c r="AE29" s="23">
        <f t="shared" si="19"/>
        <v>900.90090090090098</v>
      </c>
      <c r="AF29" s="23">
        <f t="shared" si="2"/>
        <v>4170.29</v>
      </c>
      <c r="AG29" s="23">
        <f t="shared" si="20"/>
        <v>1801.8018018017999</v>
      </c>
      <c r="AH29" s="23">
        <f t="shared" si="3"/>
        <v>0</v>
      </c>
      <c r="AI29" s="47">
        <v>1</v>
      </c>
      <c r="AJ29" s="23">
        <f t="shared" si="4"/>
        <v>28</v>
      </c>
      <c r="AK29" s="23">
        <f t="shared" si="21"/>
        <v>148.93892857142899</v>
      </c>
      <c r="AL29" s="23">
        <f t="shared" si="22"/>
        <v>64.350064350064301</v>
      </c>
      <c r="AM29" s="23">
        <f t="shared" si="23"/>
        <v>0</v>
      </c>
      <c r="AN29" s="23" t="s">
        <v>12</v>
      </c>
      <c r="AO29" s="23">
        <f t="shared" si="24"/>
        <v>213.28899292149299</v>
      </c>
    </row>
    <row r="30" spans="1:41">
      <c r="A30" s="5">
        <v>8</v>
      </c>
      <c r="B30" s="5" t="s">
        <v>81</v>
      </c>
      <c r="C30" s="5" t="s">
        <v>82</v>
      </c>
      <c r="D30" s="5" t="s">
        <v>12</v>
      </c>
      <c r="E30" s="5" t="s">
        <v>12</v>
      </c>
      <c r="F30" s="47">
        <v>30</v>
      </c>
      <c r="G30" s="23">
        <v>75.45</v>
      </c>
      <c r="H30" s="23">
        <f t="shared" si="5"/>
        <v>2263.5</v>
      </c>
      <c r="I30" s="9">
        <v>0.01</v>
      </c>
      <c r="J30" s="9">
        <v>0.02</v>
      </c>
      <c r="K30" s="9">
        <v>2.5000000000000001E-2</v>
      </c>
      <c r="L30" s="23">
        <f t="shared" si="25"/>
        <v>2263.5</v>
      </c>
      <c r="M30" s="23">
        <f t="shared" si="6"/>
        <v>22.64</v>
      </c>
      <c r="N30" s="23">
        <f t="shared" si="7"/>
        <v>2240.86</v>
      </c>
      <c r="O30" s="23">
        <f t="shared" si="8"/>
        <v>44.82</v>
      </c>
      <c r="P30" s="23">
        <f t="shared" si="9"/>
        <v>2196.04</v>
      </c>
      <c r="Q30" s="23">
        <f t="shared" si="10"/>
        <v>54.9</v>
      </c>
      <c r="R30" s="23">
        <f t="shared" si="11"/>
        <v>122.36</v>
      </c>
      <c r="S30" s="23">
        <f t="shared" si="12"/>
        <v>2141.14</v>
      </c>
      <c r="T30" s="23" t="s">
        <v>97</v>
      </c>
      <c r="U30" s="9">
        <v>0.12</v>
      </c>
      <c r="V30" s="23">
        <f t="shared" si="13"/>
        <v>0</v>
      </c>
      <c r="W30" s="23">
        <f t="shared" si="14"/>
        <v>0</v>
      </c>
      <c r="X30" s="23">
        <f t="shared" si="15"/>
        <v>256.94</v>
      </c>
      <c r="Y30" s="23">
        <f t="shared" si="16"/>
        <v>256.94</v>
      </c>
      <c r="Z30" s="23">
        <f t="shared" si="1"/>
        <v>2398.08</v>
      </c>
      <c r="AA30" s="23">
        <v>450</v>
      </c>
      <c r="AB30" s="23">
        <f t="shared" si="17"/>
        <v>1737.45173745174</v>
      </c>
      <c r="AC30" s="23"/>
      <c r="AD30" s="23">
        <f t="shared" si="18"/>
        <v>1158.3011583011601</v>
      </c>
      <c r="AE30" s="23">
        <f t="shared" si="19"/>
        <v>1158.3011583011601</v>
      </c>
      <c r="AF30" s="23">
        <f t="shared" si="2"/>
        <v>2141.14</v>
      </c>
      <c r="AG30" s="23">
        <f t="shared" si="20"/>
        <v>2316.6023166023201</v>
      </c>
      <c r="AH30" s="23">
        <f t="shared" si="3"/>
        <v>0</v>
      </c>
      <c r="AI30" s="47">
        <v>1</v>
      </c>
      <c r="AJ30" s="23">
        <f t="shared" si="4"/>
        <v>30</v>
      </c>
      <c r="AK30" s="23">
        <f t="shared" si="21"/>
        <v>71.371333333333297</v>
      </c>
      <c r="AL30" s="23">
        <f t="shared" si="22"/>
        <v>77.220077220077201</v>
      </c>
      <c r="AM30" s="23">
        <f t="shared" si="23"/>
        <v>0</v>
      </c>
      <c r="AN30" s="23" t="s">
        <v>12</v>
      </c>
      <c r="AO30" s="23">
        <f t="shared" si="24"/>
        <v>148.59141055341101</v>
      </c>
    </row>
    <row r="31" spans="1:41">
      <c r="A31" s="5">
        <v>9</v>
      </c>
      <c r="B31" s="5" t="s">
        <v>83</v>
      </c>
      <c r="C31" s="5" t="s">
        <v>84</v>
      </c>
      <c r="D31" s="5" t="s">
        <v>12</v>
      </c>
      <c r="E31" s="5" t="s">
        <v>12</v>
      </c>
      <c r="F31" s="47">
        <v>25</v>
      </c>
      <c r="G31" s="23">
        <v>75.349999999999994</v>
      </c>
      <c r="H31" s="23">
        <f t="shared" si="5"/>
        <v>1883.75</v>
      </c>
      <c r="I31" s="9">
        <v>0.01</v>
      </c>
      <c r="J31" s="9">
        <v>0.02</v>
      </c>
      <c r="K31" s="9">
        <v>2.5000000000000001E-2</v>
      </c>
      <c r="L31" s="23">
        <f t="shared" si="25"/>
        <v>1883.75</v>
      </c>
      <c r="M31" s="23">
        <f t="shared" si="6"/>
        <v>18.84</v>
      </c>
      <c r="N31" s="23">
        <f t="shared" si="7"/>
        <v>1864.91</v>
      </c>
      <c r="O31" s="23">
        <f t="shared" si="8"/>
        <v>37.299999999999997</v>
      </c>
      <c r="P31" s="23">
        <f t="shared" si="9"/>
        <v>1827.61</v>
      </c>
      <c r="Q31" s="23">
        <f t="shared" si="10"/>
        <v>45.69</v>
      </c>
      <c r="R31" s="23">
        <f t="shared" si="11"/>
        <v>101.83</v>
      </c>
      <c r="S31" s="23">
        <f t="shared" si="12"/>
        <v>1781.92</v>
      </c>
      <c r="T31" s="23" t="s">
        <v>97</v>
      </c>
      <c r="U31" s="9">
        <v>0.12</v>
      </c>
      <c r="V31" s="23">
        <f t="shared" si="13"/>
        <v>0</v>
      </c>
      <c r="W31" s="23">
        <f t="shared" si="14"/>
        <v>0</v>
      </c>
      <c r="X31" s="23">
        <f t="shared" si="15"/>
        <v>213.83</v>
      </c>
      <c r="Y31" s="23">
        <f t="shared" si="16"/>
        <v>213.83</v>
      </c>
      <c r="Z31" s="23">
        <f t="shared" si="1"/>
        <v>1995.75</v>
      </c>
      <c r="AA31" s="23">
        <v>400</v>
      </c>
      <c r="AB31" s="23">
        <f t="shared" si="17"/>
        <v>1544.4015444015399</v>
      </c>
      <c r="AC31" s="23"/>
      <c r="AD31" s="23">
        <f t="shared" si="18"/>
        <v>1029.6010296010299</v>
      </c>
      <c r="AE31" s="23">
        <f t="shared" si="19"/>
        <v>1029.6010296010299</v>
      </c>
      <c r="AF31" s="23">
        <f t="shared" si="2"/>
        <v>1781.92</v>
      </c>
      <c r="AG31" s="23">
        <f t="shared" si="20"/>
        <v>2059.2020592020599</v>
      </c>
      <c r="AH31" s="23">
        <f t="shared" si="3"/>
        <v>0</v>
      </c>
      <c r="AI31" s="47">
        <v>1</v>
      </c>
      <c r="AJ31" s="23">
        <f t="shared" si="4"/>
        <v>25</v>
      </c>
      <c r="AK31" s="23">
        <f t="shared" si="21"/>
        <v>71.276799999999994</v>
      </c>
      <c r="AL31" s="23">
        <f t="shared" si="22"/>
        <v>82.368082368082398</v>
      </c>
      <c r="AM31" s="23">
        <f t="shared" si="23"/>
        <v>0</v>
      </c>
      <c r="AN31" s="23" t="s">
        <v>12</v>
      </c>
      <c r="AO31" s="23">
        <f t="shared" si="24"/>
        <v>153.64488236808199</v>
      </c>
    </row>
    <row r="32" spans="1:41">
      <c r="A32" s="5">
        <v>10</v>
      </c>
      <c r="B32" s="5" t="s">
        <v>85</v>
      </c>
      <c r="C32" s="5" t="s">
        <v>86</v>
      </c>
      <c r="D32" s="5" t="s">
        <v>12</v>
      </c>
      <c r="E32" s="5" t="s">
        <v>12</v>
      </c>
      <c r="F32" s="47">
        <v>28</v>
      </c>
      <c r="G32" s="23">
        <v>82.45</v>
      </c>
      <c r="H32" s="23">
        <f t="shared" si="5"/>
        <v>2308.6</v>
      </c>
      <c r="I32" s="9">
        <v>0.01</v>
      </c>
      <c r="J32" s="9">
        <v>0.02</v>
      </c>
      <c r="K32" s="9">
        <v>2.5000000000000001E-2</v>
      </c>
      <c r="L32" s="23">
        <f t="shared" si="25"/>
        <v>2308.6</v>
      </c>
      <c r="M32" s="23">
        <f t="shared" si="6"/>
        <v>23.09</v>
      </c>
      <c r="N32" s="23">
        <f t="shared" si="7"/>
        <v>2285.5100000000002</v>
      </c>
      <c r="O32" s="23">
        <f t="shared" si="8"/>
        <v>45.71</v>
      </c>
      <c r="P32" s="23">
        <f t="shared" si="9"/>
        <v>2239.8000000000002</v>
      </c>
      <c r="Q32" s="23">
        <f t="shared" si="10"/>
        <v>56</v>
      </c>
      <c r="R32" s="23">
        <f t="shared" si="11"/>
        <v>124.8</v>
      </c>
      <c r="S32" s="23">
        <f t="shared" si="12"/>
        <v>2183.8000000000002</v>
      </c>
      <c r="T32" s="23" t="s">
        <v>97</v>
      </c>
      <c r="U32" s="9">
        <v>0.12</v>
      </c>
      <c r="V32" s="23">
        <f t="shared" si="13"/>
        <v>0</v>
      </c>
      <c r="W32" s="23">
        <f t="shared" si="14"/>
        <v>0</v>
      </c>
      <c r="X32" s="23">
        <f t="shared" si="15"/>
        <v>262.06</v>
      </c>
      <c r="Y32" s="23">
        <f t="shared" si="16"/>
        <v>262.06</v>
      </c>
      <c r="Z32" s="23">
        <f t="shared" si="1"/>
        <v>2445.86</v>
      </c>
      <c r="AA32" s="23">
        <v>200</v>
      </c>
      <c r="AB32" s="23">
        <f t="shared" si="17"/>
        <v>772.20077220077201</v>
      </c>
      <c r="AC32" s="23"/>
      <c r="AD32" s="23">
        <f t="shared" si="18"/>
        <v>514.80051480051497</v>
      </c>
      <c r="AE32" s="23">
        <f t="shared" si="19"/>
        <v>514.80051480051497</v>
      </c>
      <c r="AF32" s="23">
        <f t="shared" si="2"/>
        <v>2183.8000000000002</v>
      </c>
      <c r="AG32" s="23">
        <f t="shared" si="20"/>
        <v>1029.6010296010299</v>
      </c>
      <c r="AH32" s="23">
        <f t="shared" si="3"/>
        <v>0</v>
      </c>
      <c r="AI32" s="47">
        <v>1</v>
      </c>
      <c r="AJ32" s="23">
        <f t="shared" si="4"/>
        <v>28</v>
      </c>
      <c r="AK32" s="23">
        <f t="shared" si="21"/>
        <v>77.992857142857105</v>
      </c>
      <c r="AL32" s="23">
        <f t="shared" si="22"/>
        <v>36.771465342893897</v>
      </c>
      <c r="AM32" s="23">
        <f t="shared" si="23"/>
        <v>0</v>
      </c>
      <c r="AN32" s="23" t="s">
        <v>12</v>
      </c>
      <c r="AO32" s="23">
        <f t="shared" si="24"/>
        <v>114.76432248575099</v>
      </c>
    </row>
    <row r="33" spans="1:41">
      <c r="A33" s="5">
        <v>11</v>
      </c>
      <c r="B33" s="5" t="s">
        <v>87</v>
      </c>
      <c r="C33" s="5" t="s">
        <v>88</v>
      </c>
      <c r="D33" s="5" t="s">
        <v>12</v>
      </c>
      <c r="E33" s="5" t="s">
        <v>12</v>
      </c>
      <c r="F33" s="47">
        <v>37</v>
      </c>
      <c r="G33" s="23">
        <v>84.57</v>
      </c>
      <c r="H33" s="23">
        <f t="shared" si="5"/>
        <v>3129.09</v>
      </c>
      <c r="I33" s="9">
        <v>0.01</v>
      </c>
      <c r="J33" s="9">
        <v>0.02</v>
      </c>
      <c r="K33" s="9">
        <v>2.5000000000000001E-2</v>
      </c>
      <c r="L33" s="23">
        <f t="shared" si="25"/>
        <v>3129.09</v>
      </c>
      <c r="M33" s="23">
        <f t="shared" si="6"/>
        <v>31.29</v>
      </c>
      <c r="N33" s="23">
        <f t="shared" si="7"/>
        <v>3097.8</v>
      </c>
      <c r="O33" s="23">
        <f t="shared" si="8"/>
        <v>61.96</v>
      </c>
      <c r="P33" s="23">
        <f t="shared" si="9"/>
        <v>3035.84</v>
      </c>
      <c r="Q33" s="23">
        <f t="shared" si="10"/>
        <v>75.900000000000006</v>
      </c>
      <c r="R33" s="23">
        <f t="shared" si="11"/>
        <v>169.15</v>
      </c>
      <c r="S33" s="23">
        <f t="shared" si="12"/>
        <v>2959.94</v>
      </c>
      <c r="T33" s="23" t="s">
        <v>98</v>
      </c>
      <c r="U33" s="9">
        <v>0.12</v>
      </c>
      <c r="V33" s="23">
        <f t="shared" si="13"/>
        <v>0</v>
      </c>
      <c r="W33" s="23">
        <f t="shared" si="14"/>
        <v>0</v>
      </c>
      <c r="X33" s="23">
        <f t="shared" si="15"/>
        <v>355.19</v>
      </c>
      <c r="Y33" s="23">
        <f t="shared" si="16"/>
        <v>355.19</v>
      </c>
      <c r="Z33" s="23">
        <f t="shared" si="1"/>
        <v>3315.13</v>
      </c>
      <c r="AA33" s="23">
        <v>220</v>
      </c>
      <c r="AB33" s="23">
        <f t="shared" si="17"/>
        <v>849.42084942084898</v>
      </c>
      <c r="AC33" s="23"/>
      <c r="AD33" s="23">
        <f t="shared" si="18"/>
        <v>566.28056628056595</v>
      </c>
      <c r="AE33" s="23">
        <f t="shared" si="19"/>
        <v>566.28056628056595</v>
      </c>
      <c r="AF33" s="23">
        <f t="shared" si="2"/>
        <v>2959.94</v>
      </c>
      <c r="AG33" s="23">
        <f t="shared" si="20"/>
        <v>1132.5611325611301</v>
      </c>
      <c r="AH33" s="23">
        <f t="shared" si="3"/>
        <v>0</v>
      </c>
      <c r="AI33" s="47">
        <v>1</v>
      </c>
      <c r="AJ33" s="23">
        <f t="shared" si="4"/>
        <v>37</v>
      </c>
      <c r="AK33" s="23">
        <f t="shared" si="21"/>
        <v>79.998378378378405</v>
      </c>
      <c r="AL33" s="23">
        <f t="shared" si="22"/>
        <v>30.609760339490101</v>
      </c>
      <c r="AM33" s="23">
        <f t="shared" si="23"/>
        <v>0</v>
      </c>
      <c r="AN33" s="23" t="s">
        <v>12</v>
      </c>
      <c r="AO33" s="23">
        <f t="shared" si="24"/>
        <v>110.608138717868</v>
      </c>
    </row>
    <row r="34" spans="1:41">
      <c r="A34" s="5">
        <v>12</v>
      </c>
      <c r="B34" s="5" t="s">
        <v>89</v>
      </c>
      <c r="C34" s="5" t="s">
        <v>90</v>
      </c>
      <c r="D34" s="5" t="s">
        <v>12</v>
      </c>
      <c r="E34" s="5" t="s">
        <v>12</v>
      </c>
      <c r="F34" s="47">
        <v>39</v>
      </c>
      <c r="G34" s="23">
        <v>97.65</v>
      </c>
      <c r="H34" s="23">
        <f t="shared" si="5"/>
        <v>3808.35</v>
      </c>
      <c r="I34" s="9">
        <v>0.01</v>
      </c>
      <c r="J34" s="9">
        <v>0.02</v>
      </c>
      <c r="K34" s="9">
        <v>2.5000000000000001E-2</v>
      </c>
      <c r="L34" s="23">
        <f t="shared" si="25"/>
        <v>3808.35</v>
      </c>
      <c r="M34" s="23">
        <f t="shared" si="6"/>
        <v>38.08</v>
      </c>
      <c r="N34" s="23">
        <f t="shared" si="7"/>
        <v>3770.27</v>
      </c>
      <c r="O34" s="23">
        <f t="shared" si="8"/>
        <v>75.41</v>
      </c>
      <c r="P34" s="23">
        <f t="shared" si="9"/>
        <v>3694.86</v>
      </c>
      <c r="Q34" s="23">
        <f t="shared" si="10"/>
        <v>92.37</v>
      </c>
      <c r="R34" s="23">
        <f t="shared" si="11"/>
        <v>205.86</v>
      </c>
      <c r="S34" s="23">
        <f t="shared" si="12"/>
        <v>3602.49</v>
      </c>
      <c r="T34" s="23" t="s">
        <v>98</v>
      </c>
      <c r="U34" s="9">
        <v>0.05</v>
      </c>
      <c r="V34" s="23">
        <f t="shared" si="13"/>
        <v>0</v>
      </c>
      <c r="W34" s="23">
        <f t="shared" si="14"/>
        <v>0</v>
      </c>
      <c r="X34" s="23">
        <f t="shared" si="15"/>
        <v>180.12</v>
      </c>
      <c r="Y34" s="23">
        <f t="shared" si="16"/>
        <v>180.12</v>
      </c>
      <c r="Z34" s="23">
        <f t="shared" si="1"/>
        <v>3782.61</v>
      </c>
      <c r="AA34" s="23">
        <v>150</v>
      </c>
      <c r="AB34" s="23">
        <f t="shared" si="17"/>
        <v>579.15057915057901</v>
      </c>
      <c r="AC34" s="23"/>
      <c r="AD34" s="23">
        <f t="shared" si="18"/>
        <v>386.100386100386</v>
      </c>
      <c r="AE34" s="23">
        <f t="shared" si="19"/>
        <v>386.100386100386</v>
      </c>
      <c r="AF34" s="23">
        <f t="shared" si="2"/>
        <v>3602.49</v>
      </c>
      <c r="AG34" s="23">
        <f t="shared" si="20"/>
        <v>772.20077220077201</v>
      </c>
      <c r="AH34" s="23">
        <f t="shared" si="3"/>
        <v>0</v>
      </c>
      <c r="AI34" s="47">
        <v>1</v>
      </c>
      <c r="AJ34" s="23">
        <f t="shared" si="4"/>
        <v>39</v>
      </c>
      <c r="AK34" s="23">
        <f t="shared" si="21"/>
        <v>92.371538461538506</v>
      </c>
      <c r="AL34" s="23">
        <f t="shared" si="22"/>
        <v>19.8000198000198</v>
      </c>
      <c r="AM34" s="23">
        <f t="shared" si="23"/>
        <v>0</v>
      </c>
      <c r="AN34" s="23" t="s">
        <v>12</v>
      </c>
      <c r="AO34" s="23">
        <f t="shared" si="24"/>
        <v>112.171558261558</v>
      </c>
    </row>
    <row r="35" spans="1:41">
      <c r="A35" s="5">
        <v>13</v>
      </c>
      <c r="B35" s="5" t="s">
        <v>91</v>
      </c>
      <c r="C35" s="5" t="s">
        <v>92</v>
      </c>
      <c r="D35" s="5" t="s">
        <v>12</v>
      </c>
      <c r="E35" s="5" t="s">
        <v>12</v>
      </c>
      <c r="F35" s="47">
        <v>70</v>
      </c>
      <c r="G35" s="23">
        <v>105.89</v>
      </c>
      <c r="H35" s="23">
        <f t="shared" si="5"/>
        <v>7412.3</v>
      </c>
      <c r="I35" s="9">
        <v>0.01</v>
      </c>
      <c r="J35" s="9">
        <v>0.02</v>
      </c>
      <c r="K35" s="9">
        <v>2.5000000000000001E-2</v>
      </c>
      <c r="L35" s="23">
        <f t="shared" si="25"/>
        <v>7412.3</v>
      </c>
      <c r="M35" s="23">
        <f t="shared" si="6"/>
        <v>74.12</v>
      </c>
      <c r="N35" s="23">
        <f t="shared" si="7"/>
        <v>7338.18</v>
      </c>
      <c r="O35" s="23">
        <f t="shared" si="8"/>
        <v>146.76</v>
      </c>
      <c r="P35" s="23">
        <f t="shared" si="9"/>
        <v>7191.42</v>
      </c>
      <c r="Q35" s="23">
        <f t="shared" si="10"/>
        <v>179.79</v>
      </c>
      <c r="R35" s="23">
        <f t="shared" si="11"/>
        <v>400.67</v>
      </c>
      <c r="S35" s="23">
        <f t="shared" si="12"/>
        <v>7011.63</v>
      </c>
      <c r="T35" s="23" t="s">
        <v>98</v>
      </c>
      <c r="U35" s="9">
        <v>0.05</v>
      </c>
      <c r="V35" s="23">
        <f t="shared" si="13"/>
        <v>0</v>
      </c>
      <c r="W35" s="23">
        <f t="shared" si="14"/>
        <v>0</v>
      </c>
      <c r="X35" s="23">
        <f t="shared" si="15"/>
        <v>350.58</v>
      </c>
      <c r="Y35" s="23">
        <f t="shared" si="16"/>
        <v>350.58</v>
      </c>
      <c r="Z35" s="23">
        <f t="shared" si="1"/>
        <v>7362.21</v>
      </c>
      <c r="AA35" s="23">
        <v>330</v>
      </c>
      <c r="AB35" s="23">
        <f t="shared" si="17"/>
        <v>1274.1312741312699</v>
      </c>
      <c r="AC35" s="23"/>
      <c r="AD35" s="23">
        <f t="shared" si="18"/>
        <v>849.42084942084898</v>
      </c>
      <c r="AE35" s="23">
        <f t="shared" si="19"/>
        <v>849.42084942084898</v>
      </c>
      <c r="AF35" s="23">
        <f t="shared" si="2"/>
        <v>7011.63</v>
      </c>
      <c r="AG35" s="23">
        <f t="shared" si="20"/>
        <v>1698.8416988417</v>
      </c>
      <c r="AH35" s="23">
        <f t="shared" si="3"/>
        <v>0</v>
      </c>
      <c r="AI35" s="47">
        <v>1</v>
      </c>
      <c r="AJ35" s="23">
        <f t="shared" si="4"/>
        <v>70</v>
      </c>
      <c r="AK35" s="23">
        <f t="shared" si="21"/>
        <v>100.166142857143</v>
      </c>
      <c r="AL35" s="23">
        <f t="shared" si="22"/>
        <v>24.269167126309998</v>
      </c>
      <c r="AM35" s="23">
        <f t="shared" si="23"/>
        <v>0</v>
      </c>
      <c r="AN35" s="23" t="s">
        <v>12</v>
      </c>
      <c r="AO35" s="23">
        <f t="shared" si="24"/>
        <v>124.435309983453</v>
      </c>
    </row>
    <row r="36" spans="1:41">
      <c r="A36" s="5">
        <v>14</v>
      </c>
      <c r="B36" s="5" t="s">
        <v>93</v>
      </c>
      <c r="C36" s="5" t="s">
        <v>94</v>
      </c>
      <c r="D36" s="5" t="s">
        <v>12</v>
      </c>
      <c r="E36" s="5" t="s">
        <v>12</v>
      </c>
      <c r="F36" s="47">
        <v>100</v>
      </c>
      <c r="G36" s="23">
        <v>104.65</v>
      </c>
      <c r="H36" s="23">
        <f t="shared" si="5"/>
        <v>10465</v>
      </c>
      <c r="I36" s="9">
        <v>0.01</v>
      </c>
      <c r="J36" s="9">
        <v>0.02</v>
      </c>
      <c r="K36" s="9">
        <v>2.5000000000000001E-2</v>
      </c>
      <c r="L36" s="23">
        <f t="shared" si="25"/>
        <v>10465</v>
      </c>
      <c r="M36" s="23">
        <f t="shared" si="6"/>
        <v>104.65</v>
      </c>
      <c r="N36" s="23">
        <f t="shared" si="7"/>
        <v>10360.35</v>
      </c>
      <c r="O36" s="23">
        <f t="shared" si="8"/>
        <v>207.21</v>
      </c>
      <c r="P36" s="23">
        <f t="shared" si="9"/>
        <v>10153.14</v>
      </c>
      <c r="Q36" s="23">
        <f t="shared" si="10"/>
        <v>253.83</v>
      </c>
      <c r="R36" s="23">
        <f t="shared" si="11"/>
        <v>565.69000000000005</v>
      </c>
      <c r="S36" s="23">
        <f t="shared" si="12"/>
        <v>9899.31</v>
      </c>
      <c r="T36" s="23" t="s">
        <v>99</v>
      </c>
      <c r="U36" s="9">
        <v>0.28000000000000003</v>
      </c>
      <c r="V36" s="23">
        <f t="shared" si="13"/>
        <v>0</v>
      </c>
      <c r="W36" s="23">
        <f t="shared" si="14"/>
        <v>0</v>
      </c>
      <c r="X36" s="23">
        <f t="shared" si="15"/>
        <v>2771.81</v>
      </c>
      <c r="Y36" s="23">
        <f t="shared" si="16"/>
        <v>2771.81</v>
      </c>
      <c r="Z36" s="23">
        <f t="shared" si="1"/>
        <v>12671.12</v>
      </c>
      <c r="AA36" s="23">
        <v>345</v>
      </c>
      <c r="AB36" s="23">
        <f t="shared" si="17"/>
        <v>1332.04633204633</v>
      </c>
      <c r="AC36" s="23"/>
      <c r="AD36" s="23">
        <f t="shared" si="18"/>
        <v>888.03088803088804</v>
      </c>
      <c r="AE36" s="23">
        <f t="shared" si="19"/>
        <v>888.03088803088804</v>
      </c>
      <c r="AF36" s="23">
        <f t="shared" si="2"/>
        <v>9899.31</v>
      </c>
      <c r="AG36" s="23">
        <f t="shared" si="20"/>
        <v>1776.0617760617799</v>
      </c>
      <c r="AH36" s="23">
        <f t="shared" si="3"/>
        <v>0</v>
      </c>
      <c r="AI36" s="47">
        <v>1</v>
      </c>
      <c r="AJ36" s="23">
        <f t="shared" si="4"/>
        <v>100</v>
      </c>
      <c r="AK36" s="23">
        <f t="shared" si="21"/>
        <v>98.993099999999998</v>
      </c>
      <c r="AL36" s="23">
        <f t="shared" si="22"/>
        <v>17.760617760617802</v>
      </c>
      <c r="AM36" s="23">
        <f t="shared" si="23"/>
        <v>0</v>
      </c>
      <c r="AN36" s="23" t="s">
        <v>12</v>
      </c>
      <c r="AO36" s="23">
        <f t="shared" si="24"/>
        <v>116.753717760618</v>
      </c>
    </row>
    <row r="37" spans="1:41">
      <c r="A37" s="5">
        <v>15</v>
      </c>
      <c r="B37" s="5" t="s">
        <v>95</v>
      </c>
      <c r="C37" s="5" t="s">
        <v>96</v>
      </c>
      <c r="D37" s="5" t="s">
        <v>12</v>
      </c>
      <c r="E37" s="5" t="s">
        <v>12</v>
      </c>
      <c r="F37" s="47">
        <v>85</v>
      </c>
      <c r="G37" s="23">
        <v>66.36</v>
      </c>
      <c r="H37" s="23">
        <f t="shared" si="5"/>
        <v>5640.6</v>
      </c>
      <c r="I37" s="9">
        <v>0.01</v>
      </c>
      <c r="J37" s="9">
        <v>0.02</v>
      </c>
      <c r="K37" s="9">
        <v>2.5000000000000001E-2</v>
      </c>
      <c r="L37" s="23">
        <f t="shared" si="25"/>
        <v>5640.6</v>
      </c>
      <c r="M37" s="23">
        <f t="shared" si="6"/>
        <v>56.41</v>
      </c>
      <c r="N37" s="23">
        <f t="shared" si="7"/>
        <v>5584.19</v>
      </c>
      <c r="O37" s="23">
        <f t="shared" si="8"/>
        <v>111.68</v>
      </c>
      <c r="P37" s="23">
        <f t="shared" si="9"/>
        <v>5472.51</v>
      </c>
      <c r="Q37" s="23">
        <f t="shared" si="10"/>
        <v>136.81</v>
      </c>
      <c r="R37" s="23">
        <f t="shared" si="11"/>
        <v>304.89999999999998</v>
      </c>
      <c r="S37" s="23">
        <f t="shared" si="12"/>
        <v>5335.7</v>
      </c>
      <c r="T37" s="23" t="s">
        <v>99</v>
      </c>
      <c r="U37" s="9">
        <v>0.28000000000000003</v>
      </c>
      <c r="V37" s="23">
        <f t="shared" si="13"/>
        <v>0</v>
      </c>
      <c r="W37" s="23">
        <f t="shared" si="14"/>
        <v>0</v>
      </c>
      <c r="X37" s="23">
        <f t="shared" si="15"/>
        <v>1494</v>
      </c>
      <c r="Y37" s="23">
        <f t="shared" si="16"/>
        <v>1494</v>
      </c>
      <c r="Z37" s="23">
        <f t="shared" si="1"/>
        <v>6829.7</v>
      </c>
      <c r="AA37" s="23">
        <v>220</v>
      </c>
      <c r="AB37" s="23">
        <f t="shared" si="17"/>
        <v>849.42084942084898</v>
      </c>
      <c r="AC37" s="23"/>
      <c r="AD37" s="23">
        <f t="shared" si="18"/>
        <v>566.28056628056595</v>
      </c>
      <c r="AE37" s="23">
        <f t="shared" si="19"/>
        <v>566.28056628056595</v>
      </c>
      <c r="AF37" s="23">
        <f t="shared" si="2"/>
        <v>5335.7</v>
      </c>
      <c r="AG37" s="23">
        <f t="shared" si="20"/>
        <v>1132.5611325611301</v>
      </c>
      <c r="AH37" s="23">
        <f t="shared" si="3"/>
        <v>0</v>
      </c>
      <c r="AI37" s="47">
        <v>1</v>
      </c>
      <c r="AJ37" s="23">
        <f t="shared" si="4"/>
        <v>85</v>
      </c>
      <c r="AK37" s="23">
        <f t="shared" si="21"/>
        <v>62.772941176470603</v>
      </c>
      <c r="AL37" s="23">
        <f t="shared" si="22"/>
        <v>13.324248618366299</v>
      </c>
      <c r="AM37" s="23">
        <f t="shared" si="23"/>
        <v>0</v>
      </c>
      <c r="AN37" s="23" t="s">
        <v>12</v>
      </c>
      <c r="AO37" s="23">
        <f t="shared" si="24"/>
        <v>76.097189794836893</v>
      </c>
    </row>
    <row r="38" spans="1:41">
      <c r="B38" s="81" t="s">
        <v>14</v>
      </c>
      <c r="C38" s="81"/>
      <c r="D38" s="81"/>
      <c r="E38" s="81"/>
      <c r="F38" s="81"/>
      <c r="G38" s="81"/>
      <c r="H38" s="48">
        <f>SUM(H23:H37)</f>
        <v>73321.039999999994</v>
      </c>
      <c r="I38" s="5"/>
      <c r="J38" s="5"/>
      <c r="K38" s="5"/>
      <c r="L38" s="5"/>
      <c r="M38" s="5"/>
      <c r="N38" s="5"/>
      <c r="O38" s="5"/>
      <c r="P38" s="5"/>
      <c r="Q38" s="5"/>
      <c r="R38" s="7">
        <f>SUM(R23:R37)</f>
        <v>3931.47</v>
      </c>
      <c r="S38" s="7">
        <f>SUM(S23:S37)</f>
        <v>69389.570000000007</v>
      </c>
      <c r="T38" s="7"/>
      <c r="U38" s="7"/>
      <c r="V38" s="48">
        <f>SUM(V23:V37)</f>
        <v>0</v>
      </c>
      <c r="W38" s="48">
        <f t="shared" ref="W38:Y38" si="26">SUM(W23:W37)</f>
        <v>0</v>
      </c>
      <c r="X38" s="48">
        <f t="shared" si="26"/>
        <v>11276.61</v>
      </c>
      <c r="Y38" s="7">
        <f t="shared" si="26"/>
        <v>11276.61</v>
      </c>
      <c r="Z38" s="18">
        <f t="shared" ref="Z38:AB38" si="27">SUM(Z23:Z37)</f>
        <v>80666.179999999993</v>
      </c>
      <c r="AA38" s="69">
        <f t="shared" si="27"/>
        <v>3885</v>
      </c>
      <c r="AB38" s="69">
        <f t="shared" si="27"/>
        <v>15000</v>
      </c>
      <c r="AC38" s="18"/>
      <c r="AD38" s="69">
        <f>SUM(AD23:AD37)</f>
        <v>10000</v>
      </c>
      <c r="AE38" s="69">
        <f>SUM(AE23:AE37)</f>
        <v>10000</v>
      </c>
      <c r="AF38" s="69">
        <f>SUM(AF23:AF37)</f>
        <v>69389.570000000007</v>
      </c>
      <c r="AG38" s="69">
        <f>SUM(AG23:AG37)</f>
        <v>20000</v>
      </c>
      <c r="AH38" s="69">
        <f>SUM(AH23:AH37)</f>
        <v>0</v>
      </c>
      <c r="AI38" s="18"/>
      <c r="AJ38" s="18"/>
      <c r="AK38" s="18"/>
      <c r="AL38" s="18"/>
      <c r="AM38" s="18"/>
      <c r="AN38" s="18"/>
      <c r="AO38" s="18"/>
    </row>
    <row r="40" spans="1:41">
      <c r="E40" s="2" t="s">
        <v>100</v>
      </c>
    </row>
    <row r="41" spans="1:41" ht="15">
      <c r="B41" t="s">
        <v>101</v>
      </c>
      <c r="C41" t="s">
        <v>102</v>
      </c>
      <c r="D41" s="2" t="s">
        <v>103</v>
      </c>
      <c r="G41" s="2">
        <f>E41*F41</f>
        <v>0</v>
      </c>
    </row>
    <row r="42" spans="1:41" ht="15">
      <c r="B42" s="49">
        <v>0.05</v>
      </c>
      <c r="C42" s="50">
        <v>10614.12</v>
      </c>
      <c r="D42" s="51">
        <f t="shared" ref="D42:D45" si="28">B42*C42</f>
        <v>530.70600000000002</v>
      </c>
    </row>
    <row r="43" spans="1:41" ht="15">
      <c r="B43" s="49">
        <v>0.12</v>
      </c>
      <c r="C43" s="50">
        <v>22619.68</v>
      </c>
      <c r="D43" s="51">
        <f t="shared" si="28"/>
        <v>2714.3616000000002</v>
      </c>
    </row>
    <row r="44" spans="1:41" ht="15">
      <c r="B44" s="49">
        <v>0.18</v>
      </c>
      <c r="C44" s="50">
        <v>21276.58</v>
      </c>
      <c r="D44" s="51">
        <f t="shared" si="28"/>
        <v>3829.7844</v>
      </c>
      <c r="Q44"/>
      <c r="R44"/>
      <c r="S44"/>
    </row>
    <row r="45" spans="1:41" ht="15">
      <c r="B45" s="49">
        <v>0.28000000000000003</v>
      </c>
      <c r="C45" s="50">
        <v>15235.01</v>
      </c>
      <c r="D45" s="51">
        <f t="shared" si="28"/>
        <v>4265.8028000000004</v>
      </c>
      <c r="H45" s="52"/>
      <c r="I45" s="85"/>
      <c r="J45" s="85"/>
      <c r="K45" s="10"/>
      <c r="Q45"/>
      <c r="R45"/>
      <c r="S45"/>
    </row>
    <row r="46" spans="1:41" ht="15">
      <c r="B46" s="49" t="s">
        <v>104</v>
      </c>
      <c r="C46" s="53">
        <v>69745.39</v>
      </c>
      <c r="D46" s="54">
        <f>SUM(D42:D45)</f>
        <v>11340.6548</v>
      </c>
      <c r="H46" s="52"/>
      <c r="I46" s="85"/>
      <c r="J46" s="85"/>
      <c r="Q46"/>
      <c r="R46"/>
      <c r="S46"/>
    </row>
    <row r="47" spans="1:41" ht="15">
      <c r="H47" s="52"/>
      <c r="I47" s="85"/>
      <c r="J47" s="85"/>
      <c r="Q47"/>
      <c r="R47"/>
      <c r="S47"/>
    </row>
    <row r="48" spans="1:41" ht="15">
      <c r="G48" s="86"/>
      <c r="H48" s="86"/>
      <c r="I48" s="85"/>
      <c r="J48" s="85"/>
      <c r="Q48"/>
      <c r="R48"/>
      <c r="S48"/>
    </row>
    <row r="49" spans="2:23" ht="15">
      <c r="B49" s="2" t="s">
        <v>43</v>
      </c>
      <c r="E49" s="2">
        <v>15000</v>
      </c>
      <c r="G49" s="86"/>
      <c r="H49" s="86"/>
      <c r="I49" s="85"/>
      <c r="J49" s="85"/>
      <c r="Q49"/>
      <c r="R49"/>
      <c r="S49"/>
    </row>
    <row r="50" spans="2:23" ht="15">
      <c r="B50" s="2" t="s">
        <v>39</v>
      </c>
      <c r="N50"/>
      <c r="O50"/>
      <c r="P50"/>
      <c r="Q50"/>
      <c r="R50"/>
      <c r="S50"/>
    </row>
    <row r="51" spans="2:23" ht="15">
      <c r="B51" s="2" t="s">
        <v>45</v>
      </c>
      <c r="E51" s="2">
        <v>10000</v>
      </c>
      <c r="N51"/>
      <c r="O51"/>
      <c r="P51"/>
      <c r="Q51"/>
      <c r="R51"/>
      <c r="S51"/>
    </row>
    <row r="52" spans="2:23" ht="15">
      <c r="B52" s="2" t="s">
        <v>46</v>
      </c>
      <c r="E52" s="2">
        <v>15000</v>
      </c>
      <c r="N52"/>
      <c r="O52"/>
      <c r="P52"/>
      <c r="Q52"/>
      <c r="R52"/>
      <c r="S52"/>
    </row>
    <row r="53" spans="2:23" ht="15">
      <c r="N53"/>
      <c r="O53"/>
      <c r="P53"/>
      <c r="Q53"/>
      <c r="R53"/>
      <c r="S53"/>
    </row>
    <row r="54" spans="2:23" ht="15">
      <c r="N54"/>
      <c r="O54"/>
      <c r="P54"/>
      <c r="Q54"/>
      <c r="R54"/>
      <c r="S54"/>
    </row>
    <row r="55" spans="2:23" ht="15">
      <c r="N55"/>
      <c r="O55"/>
      <c r="P55"/>
      <c r="Q55"/>
      <c r="R55"/>
      <c r="S55"/>
    </row>
    <row r="56" spans="2:23" ht="15">
      <c r="N56"/>
      <c r="O56"/>
      <c r="P56"/>
      <c r="Q56"/>
      <c r="R56"/>
      <c r="S56"/>
    </row>
    <row r="57" spans="2:23">
      <c r="B57" s="25" t="s">
        <v>2</v>
      </c>
      <c r="C57" s="26" t="s">
        <v>3</v>
      </c>
      <c r="D57" s="27" t="s">
        <v>4</v>
      </c>
      <c r="E57" s="27" t="s">
        <v>105</v>
      </c>
      <c r="F57" s="27" t="s">
        <v>106</v>
      </c>
      <c r="G57" s="26" t="s">
        <v>107</v>
      </c>
      <c r="H57" s="26" t="s">
        <v>55</v>
      </c>
      <c r="I57" s="60" t="s">
        <v>108</v>
      </c>
      <c r="J57" s="60" t="s">
        <v>109</v>
      </c>
      <c r="K57" s="61" t="s">
        <v>110</v>
      </c>
      <c r="L57" s="61" t="s">
        <v>111</v>
      </c>
      <c r="M57" s="60" t="s">
        <v>112</v>
      </c>
      <c r="N57" s="60" t="s">
        <v>113</v>
      </c>
      <c r="O57" s="60" t="s">
        <v>114</v>
      </c>
      <c r="P57" s="60" t="s">
        <v>115</v>
      </c>
      <c r="Q57" s="60" t="s">
        <v>116</v>
      </c>
      <c r="R57" s="60" t="s">
        <v>117</v>
      </c>
      <c r="S57" s="60" t="s">
        <v>118</v>
      </c>
      <c r="T57" s="61" t="s">
        <v>119</v>
      </c>
      <c r="U57" s="61" t="s">
        <v>120</v>
      </c>
      <c r="V57" s="61" t="s">
        <v>121</v>
      </c>
      <c r="W57" s="64"/>
    </row>
    <row r="58" spans="2:23" ht="15">
      <c r="B58" s="29">
        <v>1</v>
      </c>
      <c r="C58" s="30" t="s">
        <v>67</v>
      </c>
      <c r="D58" s="30" t="s">
        <v>68</v>
      </c>
      <c r="E58" s="30"/>
      <c r="F58" s="30"/>
      <c r="G58" s="30" t="s">
        <v>122</v>
      </c>
      <c r="H58" s="30" t="s">
        <v>12</v>
      </c>
      <c r="I58" s="30">
        <v>67</v>
      </c>
      <c r="J58" s="30">
        <v>56</v>
      </c>
      <c r="K58" s="32">
        <f>AJ23</f>
        <v>25</v>
      </c>
      <c r="L58" s="32">
        <f>AO23</f>
        <v>259.04122471042501</v>
      </c>
      <c r="M58" s="32">
        <f>I58+K58</f>
        <v>92</v>
      </c>
      <c r="N58" s="30">
        <f>ROUND(((I58*J58)+(K58*L58))/(I58+K58),5)</f>
        <v>111.17425</v>
      </c>
      <c r="O58" s="62"/>
      <c r="P58" s="62" t="s">
        <v>123</v>
      </c>
      <c r="Q58" s="62"/>
      <c r="R58" s="62"/>
      <c r="S58" s="62"/>
      <c r="T58" s="30"/>
      <c r="U58" s="30"/>
      <c r="V58" s="30"/>
      <c r="W58" s="65"/>
    </row>
    <row r="59" spans="2:23" ht="15">
      <c r="B59" s="29">
        <v>2</v>
      </c>
      <c r="C59" s="30" t="s">
        <v>69</v>
      </c>
      <c r="D59" s="30" t="s">
        <v>70</v>
      </c>
      <c r="E59" s="30"/>
      <c r="F59" s="30"/>
      <c r="G59" s="30" t="s">
        <v>122</v>
      </c>
      <c r="H59" s="30" t="s">
        <v>12</v>
      </c>
      <c r="I59" s="30"/>
      <c r="J59" s="30"/>
      <c r="K59" s="32">
        <f t="shared" ref="K59:K72" si="29">AJ24</f>
        <v>35</v>
      </c>
      <c r="L59" s="32">
        <f t="shared" ref="L59:L72" si="30">AO24</f>
        <v>152.716886560029</v>
      </c>
      <c r="M59" s="32">
        <f t="shared" ref="M59:M72" si="31">I59+K59</f>
        <v>35</v>
      </c>
      <c r="N59" s="30">
        <f t="shared" ref="N59:N72" si="32">((I59*J59)+(K59*L59))/(I59+K59)</f>
        <v>152.716886560029</v>
      </c>
      <c r="O59" s="62"/>
      <c r="P59" s="62"/>
      <c r="Q59" s="62"/>
      <c r="R59" s="62"/>
      <c r="S59" s="62"/>
      <c r="T59" s="30"/>
      <c r="U59" s="30"/>
      <c r="V59" s="30"/>
      <c r="W59" s="65"/>
    </row>
    <row r="60" spans="2:23" ht="15">
      <c r="B60" s="29">
        <v>3</v>
      </c>
      <c r="C60" s="30" t="s">
        <v>71</v>
      </c>
      <c r="D60" s="30" t="s">
        <v>72</v>
      </c>
      <c r="E60" s="30"/>
      <c r="F60" s="30"/>
      <c r="G60" s="30" t="s">
        <v>122</v>
      </c>
      <c r="H60" s="30" t="s">
        <v>12</v>
      </c>
      <c r="I60" s="30"/>
      <c r="J60" s="30"/>
      <c r="K60" s="32">
        <f t="shared" si="29"/>
        <v>45</v>
      </c>
      <c r="L60" s="32">
        <f t="shared" si="30"/>
        <v>142.348906048906</v>
      </c>
      <c r="M60" s="32">
        <f t="shared" si="31"/>
        <v>45</v>
      </c>
      <c r="N60" s="30">
        <f t="shared" si="32"/>
        <v>142.348906048906</v>
      </c>
      <c r="O60" s="62"/>
      <c r="P60" s="62"/>
      <c r="Q60" s="62"/>
      <c r="R60" s="62"/>
      <c r="S60" s="62"/>
      <c r="T60" s="30"/>
      <c r="U60" s="30"/>
      <c r="V60" s="30"/>
      <c r="W60" s="65"/>
    </row>
    <row r="61" spans="2:23" ht="15">
      <c r="B61" s="29">
        <v>4</v>
      </c>
      <c r="C61" s="30" t="s">
        <v>73</v>
      </c>
      <c r="D61" s="30" t="s">
        <v>74</v>
      </c>
      <c r="E61" s="30"/>
      <c r="F61" s="30"/>
      <c r="G61" s="30" t="s">
        <v>122</v>
      </c>
      <c r="H61" s="30" t="s">
        <v>12</v>
      </c>
      <c r="I61" s="30"/>
      <c r="J61" s="30"/>
      <c r="K61" s="32">
        <f t="shared" si="29"/>
        <v>55</v>
      </c>
      <c r="L61" s="32">
        <f t="shared" si="30"/>
        <v>72.754755352755396</v>
      </c>
      <c r="M61" s="32">
        <f t="shared" si="31"/>
        <v>55</v>
      </c>
      <c r="N61" s="30">
        <f t="shared" si="32"/>
        <v>72.754755352755396</v>
      </c>
      <c r="O61" s="62"/>
      <c r="P61" s="62"/>
      <c r="Q61" s="62"/>
      <c r="R61" s="62"/>
      <c r="S61" s="62"/>
      <c r="T61" s="30"/>
      <c r="U61" s="30"/>
      <c r="V61" s="30"/>
      <c r="W61" s="65"/>
    </row>
    <row r="62" spans="2:23" ht="15">
      <c r="B62" s="29">
        <v>5</v>
      </c>
      <c r="C62" s="30" t="s">
        <v>75</v>
      </c>
      <c r="D62" s="30" t="s">
        <v>76</v>
      </c>
      <c r="E62" s="30"/>
      <c r="F62" s="30"/>
      <c r="G62" s="30" t="s">
        <v>122</v>
      </c>
      <c r="H62" s="30" t="s">
        <v>12</v>
      </c>
      <c r="I62" s="30"/>
      <c r="J62" s="30"/>
      <c r="K62" s="32">
        <f t="shared" si="29"/>
        <v>60</v>
      </c>
      <c r="L62" s="32">
        <f t="shared" si="30"/>
        <v>61.433183826683802</v>
      </c>
      <c r="M62" s="32">
        <f t="shared" si="31"/>
        <v>60</v>
      </c>
      <c r="N62" s="30">
        <f t="shared" si="32"/>
        <v>61.433183826683802</v>
      </c>
      <c r="O62" s="62"/>
      <c r="P62" s="62"/>
      <c r="Q62" s="62"/>
      <c r="R62" s="62"/>
      <c r="S62" s="62"/>
      <c r="T62" s="30"/>
      <c r="U62" s="30"/>
      <c r="V62" s="30"/>
      <c r="W62" s="65"/>
    </row>
    <row r="63" spans="2:23" ht="15">
      <c r="B63" s="29">
        <v>6</v>
      </c>
      <c r="C63" s="30" t="s">
        <v>77</v>
      </c>
      <c r="D63" s="30" t="s">
        <v>78</v>
      </c>
      <c r="E63" s="30"/>
      <c r="F63" s="30"/>
      <c r="G63" s="30" t="s">
        <v>122</v>
      </c>
      <c r="H63" s="30" t="s">
        <v>12</v>
      </c>
      <c r="I63" s="30"/>
      <c r="J63" s="30"/>
      <c r="K63" s="32">
        <f t="shared" si="29"/>
        <v>75</v>
      </c>
      <c r="L63" s="32">
        <f t="shared" si="30"/>
        <v>142.261217160017</v>
      </c>
      <c r="M63" s="32">
        <f t="shared" si="31"/>
        <v>75</v>
      </c>
      <c r="N63" s="30">
        <f t="shared" si="32"/>
        <v>142.261217160017</v>
      </c>
      <c r="O63" s="62"/>
      <c r="P63" s="62"/>
      <c r="Q63" s="62"/>
      <c r="R63" s="62"/>
      <c r="S63" s="62"/>
      <c r="T63" s="30"/>
      <c r="U63" s="30"/>
      <c r="V63" s="30"/>
      <c r="W63" s="65"/>
    </row>
    <row r="64" spans="2:23" ht="15">
      <c r="B64" s="29">
        <v>7</v>
      </c>
      <c r="C64" s="30" t="s">
        <v>79</v>
      </c>
      <c r="D64" s="30" t="s">
        <v>80</v>
      </c>
      <c r="E64" s="30"/>
      <c r="F64" s="30"/>
      <c r="G64" s="30" t="s">
        <v>122</v>
      </c>
      <c r="H64" s="30" t="s">
        <v>12</v>
      </c>
      <c r="I64" s="30"/>
      <c r="J64" s="30"/>
      <c r="K64" s="32">
        <f t="shared" si="29"/>
        <v>28</v>
      </c>
      <c r="L64" s="32">
        <f t="shared" si="30"/>
        <v>213.28899292149299</v>
      </c>
      <c r="M64" s="32">
        <f t="shared" si="31"/>
        <v>28</v>
      </c>
      <c r="N64" s="30">
        <f t="shared" si="32"/>
        <v>213.28899292149299</v>
      </c>
      <c r="O64" s="62"/>
      <c r="P64" s="62"/>
      <c r="Q64" s="62"/>
      <c r="R64" s="62"/>
      <c r="S64" s="62"/>
      <c r="T64" s="30"/>
      <c r="U64" s="30"/>
      <c r="V64" s="30"/>
      <c r="W64" s="65"/>
    </row>
    <row r="65" spans="2:23" ht="15">
      <c r="B65" s="29">
        <v>8</v>
      </c>
      <c r="C65" s="30" t="s">
        <v>81</v>
      </c>
      <c r="D65" s="30" t="s">
        <v>82</v>
      </c>
      <c r="E65" s="30"/>
      <c r="F65" s="30"/>
      <c r="G65" s="30" t="s">
        <v>122</v>
      </c>
      <c r="H65" s="30" t="s">
        <v>12</v>
      </c>
      <c r="I65" s="30"/>
      <c r="J65" s="30"/>
      <c r="K65" s="32">
        <f t="shared" si="29"/>
        <v>30</v>
      </c>
      <c r="L65" s="32">
        <f t="shared" si="30"/>
        <v>148.59141055341101</v>
      </c>
      <c r="M65" s="32">
        <f t="shared" si="31"/>
        <v>30</v>
      </c>
      <c r="N65" s="30">
        <f t="shared" si="32"/>
        <v>148.59141055341101</v>
      </c>
      <c r="O65" s="62"/>
      <c r="P65" s="62"/>
      <c r="Q65" s="62"/>
      <c r="R65" s="62"/>
      <c r="S65" s="62"/>
      <c r="T65" s="30"/>
      <c r="U65" s="30"/>
      <c r="V65" s="30"/>
      <c r="W65" s="65"/>
    </row>
    <row r="66" spans="2:23">
      <c r="B66" s="29">
        <v>9</v>
      </c>
      <c r="C66" s="30" t="s">
        <v>83</v>
      </c>
      <c r="D66" s="30" t="s">
        <v>84</v>
      </c>
      <c r="E66" s="30"/>
      <c r="F66" s="30"/>
      <c r="G66" s="30" t="s">
        <v>122</v>
      </c>
      <c r="H66" s="30" t="s">
        <v>12</v>
      </c>
      <c r="I66" s="30"/>
      <c r="J66" s="30"/>
      <c r="K66" s="32">
        <f t="shared" si="29"/>
        <v>25</v>
      </c>
      <c r="L66" s="32">
        <f t="shared" si="30"/>
        <v>153.64488236808199</v>
      </c>
      <c r="M66" s="32">
        <f t="shared" si="31"/>
        <v>25</v>
      </c>
      <c r="N66" s="30">
        <f t="shared" si="32"/>
        <v>153.64488236808199</v>
      </c>
      <c r="O66" s="30"/>
      <c r="P66" s="30"/>
      <c r="Q66" s="30"/>
      <c r="R66" s="30"/>
      <c r="S66" s="30"/>
      <c r="T66" s="30"/>
      <c r="U66" s="30"/>
      <c r="V66" s="30"/>
      <c r="W66" s="65"/>
    </row>
    <row r="67" spans="2:23">
      <c r="B67" s="29">
        <v>10</v>
      </c>
      <c r="C67" s="30" t="s">
        <v>85</v>
      </c>
      <c r="D67" s="30" t="s">
        <v>86</v>
      </c>
      <c r="E67" s="30"/>
      <c r="F67" s="30"/>
      <c r="G67" s="30" t="s">
        <v>122</v>
      </c>
      <c r="H67" s="30" t="s">
        <v>12</v>
      </c>
      <c r="I67" s="30"/>
      <c r="J67" s="30"/>
      <c r="K67" s="32">
        <f t="shared" si="29"/>
        <v>28</v>
      </c>
      <c r="L67" s="32">
        <f t="shared" si="30"/>
        <v>114.76432248575099</v>
      </c>
      <c r="M67" s="32">
        <f t="shared" si="31"/>
        <v>28</v>
      </c>
      <c r="N67" s="30">
        <f t="shared" si="32"/>
        <v>114.76432248575099</v>
      </c>
      <c r="O67" s="30"/>
      <c r="P67" s="30"/>
      <c r="Q67" s="30"/>
      <c r="R67" s="30"/>
      <c r="S67" s="30"/>
      <c r="T67" s="30"/>
      <c r="U67" s="30"/>
      <c r="V67" s="30"/>
      <c r="W67" s="65"/>
    </row>
    <row r="68" spans="2:23">
      <c r="B68" s="29">
        <v>11</v>
      </c>
      <c r="C68" s="30" t="s">
        <v>87</v>
      </c>
      <c r="D68" s="30" t="s">
        <v>88</v>
      </c>
      <c r="E68" s="30"/>
      <c r="F68" s="30"/>
      <c r="G68" s="30" t="s">
        <v>122</v>
      </c>
      <c r="H68" s="30" t="s">
        <v>12</v>
      </c>
      <c r="I68" s="30"/>
      <c r="J68" s="30"/>
      <c r="K68" s="32">
        <f t="shared" si="29"/>
        <v>37</v>
      </c>
      <c r="L68" s="32">
        <f t="shared" si="30"/>
        <v>110.608138717868</v>
      </c>
      <c r="M68" s="32">
        <f t="shared" si="31"/>
        <v>37</v>
      </c>
      <c r="N68" s="30">
        <f t="shared" si="32"/>
        <v>110.608138717868</v>
      </c>
      <c r="O68" s="30"/>
      <c r="P68" s="30"/>
      <c r="Q68" s="30"/>
      <c r="R68" s="30"/>
      <c r="S68" s="30"/>
      <c r="T68" s="30"/>
      <c r="U68" s="30"/>
      <c r="V68" s="30"/>
      <c r="W68" s="65"/>
    </row>
    <row r="69" spans="2:23">
      <c r="B69" s="29">
        <v>12</v>
      </c>
      <c r="C69" s="30" t="s">
        <v>89</v>
      </c>
      <c r="D69" s="30" t="s">
        <v>90</v>
      </c>
      <c r="E69" s="30"/>
      <c r="F69" s="30"/>
      <c r="G69" s="30" t="s">
        <v>122</v>
      </c>
      <c r="H69" s="30" t="s">
        <v>12</v>
      </c>
      <c r="I69" s="30"/>
      <c r="J69" s="30"/>
      <c r="K69" s="32">
        <f t="shared" si="29"/>
        <v>39</v>
      </c>
      <c r="L69" s="32">
        <f t="shared" si="30"/>
        <v>112.171558261558</v>
      </c>
      <c r="M69" s="32">
        <f t="shared" si="31"/>
        <v>39</v>
      </c>
      <c r="N69" s="30">
        <f t="shared" si="32"/>
        <v>112.171558261558</v>
      </c>
      <c r="O69" s="30"/>
      <c r="P69" s="30"/>
      <c r="Q69" s="30"/>
      <c r="R69" s="30"/>
      <c r="S69" s="30"/>
      <c r="T69" s="30"/>
      <c r="U69" s="30"/>
      <c r="V69" s="30"/>
      <c r="W69" s="65"/>
    </row>
    <row r="70" spans="2:23">
      <c r="B70" s="29">
        <v>13</v>
      </c>
      <c r="C70" s="30" t="s">
        <v>91</v>
      </c>
      <c r="D70" s="30" t="s">
        <v>92</v>
      </c>
      <c r="E70" s="30"/>
      <c r="F70" s="30"/>
      <c r="G70" s="30" t="s">
        <v>122</v>
      </c>
      <c r="H70" s="30" t="s">
        <v>12</v>
      </c>
      <c r="I70" s="30"/>
      <c r="J70" s="30"/>
      <c r="K70" s="32">
        <f t="shared" si="29"/>
        <v>70</v>
      </c>
      <c r="L70" s="32">
        <f t="shared" si="30"/>
        <v>124.435309983453</v>
      </c>
      <c r="M70" s="32">
        <f t="shared" si="31"/>
        <v>70</v>
      </c>
      <c r="N70" s="30">
        <f t="shared" si="32"/>
        <v>124.435309983453</v>
      </c>
      <c r="O70" s="30"/>
      <c r="P70" s="30"/>
      <c r="Q70" s="30"/>
      <c r="R70" s="30"/>
      <c r="S70" s="30"/>
      <c r="T70" s="30"/>
      <c r="U70" s="30"/>
      <c r="V70" s="30"/>
      <c r="W70" s="65"/>
    </row>
    <row r="71" spans="2:23">
      <c r="B71" s="29">
        <v>14</v>
      </c>
      <c r="C71" s="30" t="s">
        <v>93</v>
      </c>
      <c r="D71" s="30" t="s">
        <v>94</v>
      </c>
      <c r="E71" s="30"/>
      <c r="F71" s="30"/>
      <c r="G71" s="30" t="s">
        <v>122</v>
      </c>
      <c r="H71" s="30" t="s">
        <v>12</v>
      </c>
      <c r="I71" s="30"/>
      <c r="J71" s="30"/>
      <c r="K71" s="32">
        <f t="shared" si="29"/>
        <v>100</v>
      </c>
      <c r="L71" s="32">
        <f t="shared" si="30"/>
        <v>116.753717760618</v>
      </c>
      <c r="M71" s="32">
        <f t="shared" si="31"/>
        <v>100</v>
      </c>
      <c r="N71" s="30">
        <f t="shared" si="32"/>
        <v>116.753717760618</v>
      </c>
      <c r="O71" s="30"/>
      <c r="P71" s="30"/>
      <c r="Q71" s="30"/>
      <c r="R71" s="30"/>
      <c r="S71" s="30"/>
      <c r="T71" s="30"/>
      <c r="U71" s="30"/>
      <c r="V71" s="30"/>
      <c r="W71" s="65"/>
    </row>
    <row r="72" spans="2:23">
      <c r="B72" s="34">
        <v>15</v>
      </c>
      <c r="C72" s="35" t="s">
        <v>95</v>
      </c>
      <c r="D72" s="35" t="s">
        <v>96</v>
      </c>
      <c r="E72" s="35"/>
      <c r="F72" s="35"/>
      <c r="G72" s="35" t="s">
        <v>122</v>
      </c>
      <c r="H72" s="35" t="s">
        <v>12</v>
      </c>
      <c r="I72" s="35"/>
      <c r="J72" s="35"/>
      <c r="K72" s="37">
        <f t="shared" si="29"/>
        <v>85</v>
      </c>
      <c r="L72" s="37">
        <f t="shared" si="30"/>
        <v>76.097189794836893</v>
      </c>
      <c r="M72" s="32">
        <f t="shared" si="31"/>
        <v>85</v>
      </c>
      <c r="N72" s="30">
        <f t="shared" si="32"/>
        <v>76.097189794836893</v>
      </c>
      <c r="O72" s="35"/>
      <c r="P72" s="35"/>
      <c r="Q72" s="35"/>
      <c r="R72" s="35"/>
      <c r="S72" s="35"/>
      <c r="T72" s="35"/>
      <c r="U72" s="35"/>
      <c r="V72" s="35"/>
      <c r="W72" s="66"/>
    </row>
  </sheetData>
  <mergeCells count="11">
    <mergeCell ref="I46:J46"/>
    <mergeCell ref="I47:J47"/>
    <mergeCell ref="G48:H48"/>
    <mergeCell ref="I48:J48"/>
    <mergeCell ref="G49:H49"/>
    <mergeCell ref="I49:J49"/>
    <mergeCell ref="A1:Z1"/>
    <mergeCell ref="B19:G19"/>
    <mergeCell ref="A21:B21"/>
    <mergeCell ref="B38:G38"/>
    <mergeCell ref="I45:J45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O59"/>
  <sheetViews>
    <sheetView showGridLines="0" workbookViewId="0">
      <selection sqref="A1:Z6"/>
    </sheetView>
  </sheetViews>
  <sheetFormatPr defaultColWidth="9.140625" defaultRowHeight="14.25"/>
  <cols>
    <col min="1" max="1" width="5.7109375" style="2" customWidth="1"/>
    <col min="2" max="2" width="8.28515625" style="2" customWidth="1"/>
    <col min="3" max="3" width="20.28515625" style="2" customWidth="1"/>
    <col min="4" max="4" width="10" style="2" customWidth="1"/>
    <col min="5" max="5" width="12.5703125" style="2" customWidth="1"/>
    <col min="6" max="6" width="14.7109375" style="2" customWidth="1"/>
    <col min="7" max="7" width="10.140625" style="2" customWidth="1"/>
    <col min="8" max="8" width="11.85546875" style="2" customWidth="1"/>
    <col min="9" max="9" width="14.42578125" style="2" customWidth="1"/>
    <col min="10" max="10" width="18.28515625" style="2" customWidth="1"/>
    <col min="11" max="11" width="12.85546875" style="2" customWidth="1"/>
    <col min="12" max="12" width="17.85546875" style="2" customWidth="1"/>
    <col min="13" max="13" width="12.85546875" style="2" customWidth="1"/>
    <col min="14" max="14" width="18" style="2" customWidth="1"/>
    <col min="15" max="15" width="18.140625" style="2" customWidth="1"/>
    <col min="16" max="16" width="20.28515625" style="2" customWidth="1"/>
    <col min="17" max="17" width="19" style="2" customWidth="1"/>
    <col min="18" max="18" width="13.28515625" style="2" customWidth="1"/>
    <col min="19" max="19" width="10.7109375" style="2" customWidth="1"/>
    <col min="20" max="20" width="12.140625" style="2" customWidth="1"/>
    <col min="21" max="21" width="20.5703125" style="2" customWidth="1"/>
    <col min="22" max="22" width="28.7109375" style="2" customWidth="1"/>
    <col min="23" max="23" width="9.28515625" style="2" customWidth="1"/>
    <col min="24" max="24" width="10" style="2" customWidth="1"/>
    <col min="25" max="26" width="11.5703125" style="2" customWidth="1"/>
    <col min="27" max="27" width="11.7109375" style="2" customWidth="1"/>
    <col min="28" max="32" width="11.5703125" style="2" customWidth="1"/>
    <col min="33" max="35" width="12.28515625" style="2" customWidth="1"/>
    <col min="36" max="36" width="14.7109375" style="2" customWidth="1"/>
    <col min="37" max="39" width="12.28515625" style="2" customWidth="1"/>
    <col min="40" max="40" width="14.7109375" style="2" customWidth="1"/>
    <col min="41" max="41" width="23.28515625" style="2" customWidth="1"/>
    <col min="42" max="16384" width="9.140625" style="2"/>
  </cols>
  <sheetData>
    <row r="1" spans="1:41" ht="27.7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1" ht="27.7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1" ht="27.75" customHeight="1">
      <c r="A3" s="25" t="s">
        <v>2</v>
      </c>
      <c r="B3" s="26" t="s">
        <v>3</v>
      </c>
      <c r="C3" s="27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8" t="s">
        <v>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ht="27.75" customHeight="1">
      <c r="A4" s="29">
        <v>14</v>
      </c>
      <c r="B4" s="30" t="s">
        <v>93</v>
      </c>
      <c r="C4" s="30" t="s">
        <v>94</v>
      </c>
      <c r="D4" s="30" t="s">
        <v>12</v>
      </c>
      <c r="E4" s="30" t="s">
        <v>12</v>
      </c>
      <c r="F4" s="31">
        <v>100</v>
      </c>
      <c r="G4" s="32">
        <v>103.5</v>
      </c>
      <c r="H4" s="33">
        <f>F4*G4</f>
        <v>10350</v>
      </c>
      <c r="I4" s="55"/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5"/>
      <c r="V4" s="55"/>
      <c r="W4" s="55"/>
      <c r="X4" s="55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 spans="1:41" ht="27.75" customHeight="1">
      <c r="A5" s="34">
        <v>15</v>
      </c>
      <c r="B5" s="35" t="s">
        <v>95</v>
      </c>
      <c r="C5" s="35" t="s">
        <v>96</v>
      </c>
      <c r="D5" s="35" t="s">
        <v>12</v>
      </c>
      <c r="E5" s="35" t="s">
        <v>12</v>
      </c>
      <c r="F5" s="36">
        <v>85</v>
      </c>
      <c r="G5" s="37">
        <v>65.48</v>
      </c>
      <c r="H5" s="38">
        <f>F5*G5</f>
        <v>5565.8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5"/>
      <c r="V5" s="55"/>
      <c r="W5" s="55"/>
      <c r="X5" s="55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spans="1:41">
      <c r="B6" s="84" t="s">
        <v>14</v>
      </c>
      <c r="C6" s="84"/>
      <c r="D6" s="84"/>
      <c r="E6" s="84"/>
      <c r="F6" s="84"/>
      <c r="G6" s="84"/>
      <c r="H6" s="39">
        <f>SUM(H4:H5)</f>
        <v>15915.8</v>
      </c>
      <c r="I6" s="20"/>
      <c r="J6" s="20"/>
      <c r="K6" s="20"/>
      <c r="L6" s="20"/>
      <c r="M6" s="20"/>
      <c r="N6" s="20"/>
      <c r="O6" s="20"/>
      <c r="P6" s="20"/>
      <c r="Q6" s="2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1:41" ht="27.75" customHeight="1">
      <c r="A7" s="40" t="s">
        <v>15</v>
      </c>
      <c r="B7" s="41"/>
      <c r="C7" s="41"/>
      <c r="D7" s="41"/>
      <c r="E7" s="41"/>
      <c r="F7" s="41"/>
      <c r="G7" s="41"/>
      <c r="H7" s="40"/>
      <c r="I7" s="57"/>
      <c r="J7" s="57"/>
      <c r="K7" s="57"/>
      <c r="L7" s="57"/>
      <c r="M7" s="57"/>
      <c r="N7" s="57"/>
      <c r="O7" s="57"/>
      <c r="P7" s="57"/>
      <c r="Q7" s="5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19.899999999999999" customHeight="1">
      <c r="A8" s="82" t="s">
        <v>16</v>
      </c>
      <c r="B8" s="82"/>
      <c r="C8" s="42">
        <v>2</v>
      </c>
      <c r="D8" s="43" t="s">
        <v>17</v>
      </c>
      <c r="E8" s="41"/>
      <c r="F8" s="41"/>
      <c r="G8" s="41"/>
      <c r="H8" s="40"/>
      <c r="I8" s="57" t="s">
        <v>18</v>
      </c>
      <c r="J8" s="57" t="s">
        <v>19</v>
      </c>
      <c r="K8" s="57"/>
      <c r="L8" s="57" t="s">
        <v>20</v>
      </c>
      <c r="M8" s="57">
        <v>1</v>
      </c>
      <c r="N8" s="57"/>
      <c r="O8" s="57" t="s">
        <v>21</v>
      </c>
      <c r="P8" s="57">
        <v>2</v>
      </c>
      <c r="Q8" s="57" t="s">
        <v>22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1:41" s="1" customFormat="1" ht="42.75">
      <c r="A9" s="44" t="s">
        <v>2</v>
      </c>
      <c r="B9" s="44" t="s">
        <v>3</v>
      </c>
      <c r="C9" s="45" t="s">
        <v>4</v>
      </c>
      <c r="D9" s="44" t="s">
        <v>5</v>
      </c>
      <c r="E9" s="44" t="s">
        <v>6</v>
      </c>
      <c r="F9" s="46" t="s">
        <v>23</v>
      </c>
      <c r="G9" s="44" t="s">
        <v>8</v>
      </c>
      <c r="H9" s="44" t="s">
        <v>9</v>
      </c>
      <c r="I9" s="58" t="s">
        <v>24</v>
      </c>
      <c r="J9" s="58" t="s">
        <v>25</v>
      </c>
      <c r="K9" s="58" t="s">
        <v>26</v>
      </c>
      <c r="L9" s="59" t="s">
        <v>27</v>
      </c>
      <c r="M9" s="59" t="s">
        <v>28</v>
      </c>
      <c r="N9" s="59" t="s">
        <v>29</v>
      </c>
      <c r="O9" s="59" t="s">
        <v>30</v>
      </c>
      <c r="P9" s="59" t="s">
        <v>31</v>
      </c>
      <c r="Q9" s="59" t="s">
        <v>32</v>
      </c>
      <c r="R9" s="58" t="s">
        <v>33</v>
      </c>
      <c r="S9" s="44" t="s">
        <v>34</v>
      </c>
      <c r="T9" s="44" t="s">
        <v>35</v>
      </c>
      <c r="U9" s="63" t="s">
        <v>36</v>
      </c>
      <c r="V9" s="63" t="s">
        <v>37</v>
      </c>
      <c r="W9" s="63" t="s">
        <v>38</v>
      </c>
      <c r="X9" s="63" t="s">
        <v>39</v>
      </c>
      <c r="Y9" s="63" t="s">
        <v>40</v>
      </c>
      <c r="Z9" s="67" t="s">
        <v>41</v>
      </c>
      <c r="AA9" s="67" t="s">
        <v>42</v>
      </c>
      <c r="AB9" s="68" t="s">
        <v>43</v>
      </c>
      <c r="AC9" s="68" t="s">
        <v>44</v>
      </c>
      <c r="AD9" s="68" t="s">
        <v>45</v>
      </c>
      <c r="AE9" s="67" t="s">
        <v>46</v>
      </c>
      <c r="AF9" s="67" t="s">
        <v>47</v>
      </c>
      <c r="AG9" s="68" t="s">
        <v>48</v>
      </c>
      <c r="AH9" s="68" t="s">
        <v>49</v>
      </c>
      <c r="AI9" s="67" t="s">
        <v>50</v>
      </c>
      <c r="AJ9" s="67" t="s">
        <v>51</v>
      </c>
      <c r="AK9" s="68" t="s">
        <v>52</v>
      </c>
      <c r="AL9" s="68" t="s">
        <v>53</v>
      </c>
      <c r="AM9" s="68" t="s">
        <v>54</v>
      </c>
      <c r="AN9" s="67" t="s">
        <v>55</v>
      </c>
      <c r="AO9" s="70" t="s">
        <v>56</v>
      </c>
    </row>
    <row r="10" spans="1:41">
      <c r="A10" s="5">
        <v>1</v>
      </c>
      <c r="B10" s="5" t="s">
        <v>67</v>
      </c>
      <c r="C10" s="5" t="s">
        <v>68</v>
      </c>
      <c r="D10" s="5" t="s">
        <v>12</v>
      </c>
      <c r="E10" s="5" t="s">
        <v>12</v>
      </c>
      <c r="F10" s="47">
        <v>25</v>
      </c>
      <c r="G10" s="23">
        <v>250.25</v>
      </c>
      <c r="H10" s="23">
        <f t="shared" ref="H10:H24" si="0">F10*G10</f>
        <v>6256.25</v>
      </c>
      <c r="I10" s="9">
        <v>2.2100000000000002E-2</v>
      </c>
      <c r="J10" s="9">
        <v>1.7899999999999999E-2</v>
      </c>
      <c r="K10" s="9">
        <v>2.5000000000000001E-2</v>
      </c>
      <c r="L10" s="23">
        <f t="shared" ref="L10:L24" si="1">H10</f>
        <v>6256.25</v>
      </c>
      <c r="M10" s="23">
        <f t="shared" ref="M10:M24" si="2">ROUND(L10*I10,2)</f>
        <v>138.26</v>
      </c>
      <c r="N10" s="23">
        <f t="shared" ref="N10:N24" si="3">H10-M10</f>
        <v>6117.99</v>
      </c>
      <c r="O10" s="23">
        <f t="shared" ref="O10:O24" si="4">ROUND(N10*J10,2)</f>
        <v>109.51</v>
      </c>
      <c r="P10" s="23">
        <f t="shared" ref="P10:P24" si="5">ROUND(N10-O10,2)</f>
        <v>6008.48</v>
      </c>
      <c r="Q10" s="23">
        <f t="shared" ref="Q10:Q24" si="6">ROUND(P10*K10,2)</f>
        <v>150.21</v>
      </c>
      <c r="R10" s="23">
        <f t="shared" ref="R10:R24" si="7">M10+O10+Q10</f>
        <v>397.98</v>
      </c>
      <c r="S10" s="23">
        <f t="shared" ref="S10:S24" si="8">(H10-R10)</f>
        <v>5858.27</v>
      </c>
      <c r="T10" s="23" t="s">
        <v>57</v>
      </c>
      <c r="U10" s="9">
        <v>0.18</v>
      </c>
      <c r="V10" s="23">
        <f t="shared" ref="V10:V24" si="9">IF($C$8=1,ROUND(((S10*U10)/2),2),0)</f>
        <v>0</v>
      </c>
      <c r="W10" s="23">
        <f t="shared" ref="W10:W24" si="10">IF($C$8=1,ROUND(((S10*U10)/2),2),0)</f>
        <v>0</v>
      </c>
      <c r="X10" s="23">
        <f t="shared" ref="X10:X24" si="11">IF($C$8=2,ROUND(((S10*U10)),2),0)</f>
        <v>1054.49</v>
      </c>
      <c r="Y10" s="23">
        <f t="shared" ref="Y10:Y24" si="12">V10+W10+X10</f>
        <v>1054.49</v>
      </c>
      <c r="Z10" s="23">
        <f t="shared" ref="Z10:Z24" si="13">S10+Y10</f>
        <v>6912.76</v>
      </c>
      <c r="AA10" s="23">
        <v>120</v>
      </c>
      <c r="AB10" s="23">
        <f t="shared" ref="AB10:AB24" si="14">IF($P$8=1,(S10/$S$25)*$E$36,AA10/$AA$25*$E$36)</f>
        <v>463.32046332046298</v>
      </c>
      <c r="AC10" s="23"/>
      <c r="AD10" s="23">
        <f t="shared" ref="AD10:AD24" si="15">IF($P$8=1,(S10/$S$25)*$E$38,AA10/$AA$25*$E$38)</f>
        <v>308.88030888030897</v>
      </c>
      <c r="AE10" s="23">
        <f t="shared" ref="AE10:AE24" si="16">IF($P$8=1,(S10/$S$25)*$E$38,AA10/$AA$25*$E$38)</f>
        <v>308.88030888030897</v>
      </c>
      <c r="AF10" s="23">
        <f t="shared" ref="AF10:AF24" si="17">S10*$M$8</f>
        <v>5858.27</v>
      </c>
      <c r="AG10" s="23">
        <f t="shared" ref="AG10:AG24" si="18">IF($C$8=3,0,AD10+AE10)</f>
        <v>617.76061776061795</v>
      </c>
      <c r="AH10" s="23">
        <f t="shared" ref="AH10:AH24" si="19">IF($C$8=3,AB10+AD10+AE10,0)</f>
        <v>0</v>
      </c>
      <c r="AI10" s="47">
        <v>1</v>
      </c>
      <c r="AJ10" s="23">
        <f t="shared" ref="AJ10:AJ24" si="20">F10/AI10</f>
        <v>25</v>
      </c>
      <c r="AK10" s="23">
        <f t="shared" ref="AK10:AK24" si="21">AF10/AJ10</f>
        <v>234.33080000000001</v>
      </c>
      <c r="AL10" s="23">
        <f t="shared" ref="AL10:AL24" si="22">AG10/AJ10</f>
        <v>24.7104247104247</v>
      </c>
      <c r="AM10" s="23">
        <f t="shared" ref="AM10:AM24" si="23">AH10/AJ10</f>
        <v>0</v>
      </c>
      <c r="AN10" s="23" t="s">
        <v>12</v>
      </c>
      <c r="AO10" s="23">
        <f t="shared" ref="AO10:AO24" si="24">AK10+AL10+AM10</f>
        <v>259.04122471042501</v>
      </c>
    </row>
    <row r="11" spans="1:41">
      <c r="A11" s="5">
        <v>2</v>
      </c>
      <c r="B11" s="5" t="s">
        <v>69</v>
      </c>
      <c r="C11" s="5" t="s">
        <v>70</v>
      </c>
      <c r="D11" s="5" t="s">
        <v>12</v>
      </c>
      <c r="E11" s="5" t="s">
        <v>12</v>
      </c>
      <c r="F11" s="47">
        <v>35</v>
      </c>
      <c r="G11" s="23">
        <v>130.25</v>
      </c>
      <c r="H11" s="23">
        <f t="shared" si="0"/>
        <v>4558.75</v>
      </c>
      <c r="I11" s="9">
        <v>1.2500000000000001E-2</v>
      </c>
      <c r="J11" s="9">
        <v>1.6799999999999999E-2</v>
      </c>
      <c r="K11" s="9">
        <v>2.5000000000000001E-2</v>
      </c>
      <c r="L11" s="23">
        <f t="shared" si="1"/>
        <v>4558.75</v>
      </c>
      <c r="M11" s="23">
        <f t="shared" si="2"/>
        <v>56.98</v>
      </c>
      <c r="N11" s="23">
        <f t="shared" si="3"/>
        <v>4501.7700000000004</v>
      </c>
      <c r="O11" s="23">
        <f t="shared" si="4"/>
        <v>75.63</v>
      </c>
      <c r="P11" s="23">
        <f t="shared" si="5"/>
        <v>4426.1400000000003</v>
      </c>
      <c r="Q11" s="23">
        <f t="shared" si="6"/>
        <v>110.65</v>
      </c>
      <c r="R11" s="23">
        <f t="shared" si="7"/>
        <v>243.26</v>
      </c>
      <c r="S11" s="23">
        <f t="shared" si="8"/>
        <v>4315.49</v>
      </c>
      <c r="T11" s="23" t="s">
        <v>57</v>
      </c>
      <c r="U11" s="9">
        <v>0.18</v>
      </c>
      <c r="V11" s="23">
        <f t="shared" si="9"/>
        <v>0</v>
      </c>
      <c r="W11" s="23">
        <f t="shared" si="10"/>
        <v>0</v>
      </c>
      <c r="X11" s="23">
        <f t="shared" si="11"/>
        <v>776.79</v>
      </c>
      <c r="Y11" s="23">
        <f t="shared" si="12"/>
        <v>776.79</v>
      </c>
      <c r="Z11" s="23">
        <f t="shared" si="13"/>
        <v>5092.28</v>
      </c>
      <c r="AA11" s="23">
        <v>200</v>
      </c>
      <c r="AB11" s="23">
        <f t="shared" si="14"/>
        <v>772.20077220077201</v>
      </c>
      <c r="AC11" s="23"/>
      <c r="AD11" s="23">
        <f t="shared" si="15"/>
        <v>514.80051480051497</v>
      </c>
      <c r="AE11" s="23">
        <f t="shared" si="16"/>
        <v>514.80051480051497</v>
      </c>
      <c r="AF11" s="23">
        <f t="shared" si="17"/>
        <v>4315.49</v>
      </c>
      <c r="AG11" s="23">
        <f t="shared" si="18"/>
        <v>1029.6010296010299</v>
      </c>
      <c r="AH11" s="23">
        <f t="shared" si="19"/>
        <v>0</v>
      </c>
      <c r="AI11" s="47">
        <v>1</v>
      </c>
      <c r="AJ11" s="23">
        <f t="shared" si="20"/>
        <v>35</v>
      </c>
      <c r="AK11" s="23">
        <f t="shared" si="21"/>
        <v>123.299714285714</v>
      </c>
      <c r="AL11" s="23">
        <f t="shared" si="22"/>
        <v>29.417172274315099</v>
      </c>
      <c r="AM11" s="23">
        <f t="shared" si="23"/>
        <v>0</v>
      </c>
      <c r="AN11" s="23" t="s">
        <v>12</v>
      </c>
      <c r="AO11" s="23">
        <f t="shared" si="24"/>
        <v>152.716886560029</v>
      </c>
    </row>
    <row r="12" spans="1:41">
      <c r="A12" s="5">
        <v>3</v>
      </c>
      <c r="B12" s="5" t="s">
        <v>71</v>
      </c>
      <c r="C12" s="5" t="s">
        <v>72</v>
      </c>
      <c r="D12" s="5" t="s">
        <v>12</v>
      </c>
      <c r="E12" s="5" t="s">
        <v>12</v>
      </c>
      <c r="F12" s="47">
        <v>45</v>
      </c>
      <c r="G12" s="23">
        <v>130.35</v>
      </c>
      <c r="H12" s="23">
        <f t="shared" si="0"/>
        <v>5865.75</v>
      </c>
      <c r="I12" s="9">
        <v>1.2500000000000001E-2</v>
      </c>
      <c r="J12" s="9">
        <v>2.5000000000000001E-3</v>
      </c>
      <c r="K12" s="9">
        <v>2.5000000000000001E-2</v>
      </c>
      <c r="L12" s="23">
        <f t="shared" si="1"/>
        <v>5865.75</v>
      </c>
      <c r="M12" s="23">
        <f t="shared" si="2"/>
        <v>73.319999999999993</v>
      </c>
      <c r="N12" s="23">
        <f t="shared" si="3"/>
        <v>5792.43</v>
      </c>
      <c r="O12" s="23">
        <f t="shared" si="4"/>
        <v>14.48</v>
      </c>
      <c r="P12" s="23">
        <f t="shared" si="5"/>
        <v>5777.95</v>
      </c>
      <c r="Q12" s="23">
        <f t="shared" si="6"/>
        <v>144.44999999999999</v>
      </c>
      <c r="R12" s="23">
        <f t="shared" si="7"/>
        <v>232.25</v>
      </c>
      <c r="S12" s="23">
        <f t="shared" si="8"/>
        <v>5633.5</v>
      </c>
      <c r="T12" s="23" t="s">
        <v>57</v>
      </c>
      <c r="U12" s="9">
        <v>0.18</v>
      </c>
      <c r="V12" s="23">
        <f t="shared" si="9"/>
        <v>0</v>
      </c>
      <c r="W12" s="23">
        <f t="shared" si="10"/>
        <v>0</v>
      </c>
      <c r="X12" s="23">
        <f t="shared" si="11"/>
        <v>1014.03</v>
      </c>
      <c r="Y12" s="23">
        <f t="shared" si="12"/>
        <v>1014.03</v>
      </c>
      <c r="Z12" s="23">
        <f t="shared" si="13"/>
        <v>6647.53</v>
      </c>
      <c r="AA12" s="23">
        <v>150</v>
      </c>
      <c r="AB12" s="23">
        <f t="shared" si="14"/>
        <v>579.15057915057901</v>
      </c>
      <c r="AC12" s="23"/>
      <c r="AD12" s="23">
        <f t="shared" si="15"/>
        <v>386.100386100386</v>
      </c>
      <c r="AE12" s="23">
        <f t="shared" si="16"/>
        <v>386.100386100386</v>
      </c>
      <c r="AF12" s="23">
        <f t="shared" si="17"/>
        <v>5633.5</v>
      </c>
      <c r="AG12" s="23">
        <f t="shared" si="18"/>
        <v>772.20077220077201</v>
      </c>
      <c r="AH12" s="23">
        <f t="shared" si="19"/>
        <v>0</v>
      </c>
      <c r="AI12" s="47">
        <v>1</v>
      </c>
      <c r="AJ12" s="23">
        <f t="shared" si="20"/>
        <v>45</v>
      </c>
      <c r="AK12" s="23">
        <f t="shared" si="21"/>
        <v>125.188888888889</v>
      </c>
      <c r="AL12" s="23">
        <f t="shared" si="22"/>
        <v>17.160017160017201</v>
      </c>
      <c r="AM12" s="23">
        <f t="shared" si="23"/>
        <v>0</v>
      </c>
      <c r="AN12" s="23" t="s">
        <v>12</v>
      </c>
      <c r="AO12" s="23">
        <f t="shared" si="24"/>
        <v>142.348906048906</v>
      </c>
    </row>
    <row r="13" spans="1:41">
      <c r="A13" s="5">
        <v>4</v>
      </c>
      <c r="B13" s="5" t="s">
        <v>73</v>
      </c>
      <c r="C13" s="5" t="s">
        <v>74</v>
      </c>
      <c r="D13" s="5" t="s">
        <v>12</v>
      </c>
      <c r="E13" s="5" t="s">
        <v>12</v>
      </c>
      <c r="F13" s="47">
        <v>55</v>
      </c>
      <c r="G13" s="23">
        <v>46.45</v>
      </c>
      <c r="H13" s="23">
        <f t="shared" si="0"/>
        <v>2554.75</v>
      </c>
      <c r="I13" s="9">
        <v>9.4999999999999998E-3</v>
      </c>
      <c r="J13" s="9">
        <v>4.1000000000000003E-3</v>
      </c>
      <c r="K13" s="9">
        <v>2.5000000000000001E-2</v>
      </c>
      <c r="L13" s="23">
        <f t="shared" si="1"/>
        <v>2554.75</v>
      </c>
      <c r="M13" s="23">
        <f t="shared" si="2"/>
        <v>24.27</v>
      </c>
      <c r="N13" s="23">
        <f t="shared" si="3"/>
        <v>2530.48</v>
      </c>
      <c r="O13" s="23">
        <f t="shared" si="4"/>
        <v>10.37</v>
      </c>
      <c r="P13" s="23">
        <f t="shared" si="5"/>
        <v>2520.11</v>
      </c>
      <c r="Q13" s="23">
        <f t="shared" si="6"/>
        <v>63</v>
      </c>
      <c r="R13" s="23">
        <f t="shared" si="7"/>
        <v>97.64</v>
      </c>
      <c r="S13" s="23">
        <f t="shared" si="8"/>
        <v>2457.11</v>
      </c>
      <c r="T13" s="23" t="s">
        <v>57</v>
      </c>
      <c r="U13" s="9">
        <v>0.18</v>
      </c>
      <c r="V13" s="23">
        <f t="shared" si="9"/>
        <v>0</v>
      </c>
      <c r="W13" s="23">
        <f t="shared" si="10"/>
        <v>0</v>
      </c>
      <c r="X13" s="23">
        <f t="shared" si="11"/>
        <v>442.28</v>
      </c>
      <c r="Y13" s="23">
        <f t="shared" si="12"/>
        <v>442.28</v>
      </c>
      <c r="Z13" s="23">
        <f t="shared" si="13"/>
        <v>2899.39</v>
      </c>
      <c r="AA13" s="23">
        <v>300</v>
      </c>
      <c r="AB13" s="23">
        <f t="shared" si="14"/>
        <v>1158.3011583011601</v>
      </c>
      <c r="AC13" s="23"/>
      <c r="AD13" s="23">
        <f t="shared" si="15"/>
        <v>772.20077220077201</v>
      </c>
      <c r="AE13" s="23">
        <f t="shared" si="16"/>
        <v>772.20077220077201</v>
      </c>
      <c r="AF13" s="23">
        <f t="shared" si="17"/>
        <v>2457.11</v>
      </c>
      <c r="AG13" s="23">
        <f t="shared" si="18"/>
        <v>1544.4015444015399</v>
      </c>
      <c r="AH13" s="23">
        <f t="shared" si="19"/>
        <v>0</v>
      </c>
      <c r="AI13" s="47">
        <v>1</v>
      </c>
      <c r="AJ13" s="23">
        <f t="shared" si="20"/>
        <v>55</v>
      </c>
      <c r="AK13" s="23">
        <f t="shared" si="21"/>
        <v>44.674727272727303</v>
      </c>
      <c r="AL13" s="23">
        <f t="shared" si="22"/>
        <v>28.0800280800281</v>
      </c>
      <c r="AM13" s="23">
        <f t="shared" si="23"/>
        <v>0</v>
      </c>
      <c r="AN13" s="23" t="s">
        <v>12</v>
      </c>
      <c r="AO13" s="23">
        <f t="shared" si="24"/>
        <v>72.754755352755396</v>
      </c>
    </row>
    <row r="14" spans="1:41">
      <c r="A14" s="5">
        <v>5</v>
      </c>
      <c r="B14" s="5" t="s">
        <v>75</v>
      </c>
      <c r="C14" s="5" t="s">
        <v>76</v>
      </c>
      <c r="D14" s="5" t="s">
        <v>12</v>
      </c>
      <c r="E14" s="5" t="s">
        <v>12</v>
      </c>
      <c r="F14" s="47">
        <v>60</v>
      </c>
      <c r="G14" s="23">
        <v>47.45</v>
      </c>
      <c r="H14" s="23">
        <f t="shared" si="0"/>
        <v>2847</v>
      </c>
      <c r="I14" s="9">
        <v>2.35E-2</v>
      </c>
      <c r="J14" s="9">
        <v>0.02</v>
      </c>
      <c r="K14" s="9">
        <v>2.5000000000000001E-2</v>
      </c>
      <c r="L14" s="23">
        <f t="shared" si="1"/>
        <v>2847</v>
      </c>
      <c r="M14" s="23">
        <f t="shared" si="2"/>
        <v>66.900000000000006</v>
      </c>
      <c r="N14" s="23">
        <f t="shared" si="3"/>
        <v>2780.1</v>
      </c>
      <c r="O14" s="23">
        <f t="shared" si="4"/>
        <v>55.6</v>
      </c>
      <c r="P14" s="23">
        <f t="shared" si="5"/>
        <v>2724.5</v>
      </c>
      <c r="Q14" s="23">
        <f t="shared" si="6"/>
        <v>68.11</v>
      </c>
      <c r="R14" s="23">
        <f t="shared" si="7"/>
        <v>190.61</v>
      </c>
      <c r="S14" s="23">
        <f t="shared" si="8"/>
        <v>2656.39</v>
      </c>
      <c r="T14" s="23" t="s">
        <v>57</v>
      </c>
      <c r="U14" s="9">
        <v>0.18</v>
      </c>
      <c r="V14" s="23">
        <f t="shared" si="9"/>
        <v>0</v>
      </c>
      <c r="W14" s="23">
        <f t="shared" si="10"/>
        <v>0</v>
      </c>
      <c r="X14" s="23">
        <f t="shared" si="11"/>
        <v>478.15</v>
      </c>
      <c r="Y14" s="23">
        <f t="shared" si="12"/>
        <v>478.15</v>
      </c>
      <c r="Z14" s="23">
        <f t="shared" si="13"/>
        <v>3134.54</v>
      </c>
      <c r="AA14" s="23">
        <v>200</v>
      </c>
      <c r="AB14" s="23">
        <f t="shared" si="14"/>
        <v>772.20077220077201</v>
      </c>
      <c r="AC14" s="23"/>
      <c r="AD14" s="23">
        <f t="shared" si="15"/>
        <v>514.80051480051497</v>
      </c>
      <c r="AE14" s="23">
        <f t="shared" si="16"/>
        <v>514.80051480051497</v>
      </c>
      <c r="AF14" s="23">
        <f t="shared" si="17"/>
        <v>2656.39</v>
      </c>
      <c r="AG14" s="23">
        <f t="shared" si="18"/>
        <v>1029.6010296010299</v>
      </c>
      <c r="AH14" s="23">
        <f t="shared" si="19"/>
        <v>0</v>
      </c>
      <c r="AI14" s="47">
        <v>1</v>
      </c>
      <c r="AJ14" s="23">
        <f t="shared" si="20"/>
        <v>60</v>
      </c>
      <c r="AK14" s="23">
        <f t="shared" si="21"/>
        <v>44.273166666666697</v>
      </c>
      <c r="AL14" s="23">
        <f t="shared" si="22"/>
        <v>17.160017160017201</v>
      </c>
      <c r="AM14" s="23">
        <f t="shared" si="23"/>
        <v>0</v>
      </c>
      <c r="AN14" s="23" t="s">
        <v>12</v>
      </c>
      <c r="AO14" s="23">
        <f t="shared" si="24"/>
        <v>61.433183826683802</v>
      </c>
    </row>
    <row r="15" spans="1:41">
      <c r="A15" s="5">
        <v>6</v>
      </c>
      <c r="B15" s="5" t="s">
        <v>77</v>
      </c>
      <c r="C15" s="5" t="s">
        <v>78</v>
      </c>
      <c r="D15" s="5" t="s">
        <v>12</v>
      </c>
      <c r="E15" s="5" t="s">
        <v>12</v>
      </c>
      <c r="F15" s="47">
        <v>75</v>
      </c>
      <c r="G15" s="23">
        <v>132.25</v>
      </c>
      <c r="H15" s="23">
        <f t="shared" si="0"/>
        <v>9918.75</v>
      </c>
      <c r="I15" s="9">
        <v>0.01</v>
      </c>
      <c r="J15" s="9">
        <v>0.02</v>
      </c>
      <c r="K15" s="9">
        <v>2.5000000000000001E-2</v>
      </c>
      <c r="L15" s="23">
        <f t="shared" si="1"/>
        <v>9918.75</v>
      </c>
      <c r="M15" s="23">
        <f t="shared" si="2"/>
        <v>99.19</v>
      </c>
      <c r="N15" s="23">
        <f t="shared" si="3"/>
        <v>9819.56</v>
      </c>
      <c r="O15" s="23">
        <f t="shared" si="4"/>
        <v>196.39</v>
      </c>
      <c r="P15" s="23">
        <f t="shared" si="5"/>
        <v>9623.17</v>
      </c>
      <c r="Q15" s="23">
        <f t="shared" si="6"/>
        <v>240.58</v>
      </c>
      <c r="R15" s="23">
        <f t="shared" si="7"/>
        <v>536.16</v>
      </c>
      <c r="S15" s="23">
        <f t="shared" si="8"/>
        <v>9382.59</v>
      </c>
      <c r="T15" s="23" t="s">
        <v>97</v>
      </c>
      <c r="U15" s="9">
        <v>0.12</v>
      </c>
      <c r="V15" s="23">
        <f t="shared" si="9"/>
        <v>0</v>
      </c>
      <c r="W15" s="23">
        <f t="shared" si="10"/>
        <v>0</v>
      </c>
      <c r="X15" s="23">
        <f t="shared" si="11"/>
        <v>1125.9100000000001</v>
      </c>
      <c r="Y15" s="23">
        <f t="shared" si="12"/>
        <v>1125.9100000000001</v>
      </c>
      <c r="Z15" s="23">
        <f t="shared" si="13"/>
        <v>10508.5</v>
      </c>
      <c r="AA15" s="23">
        <v>250</v>
      </c>
      <c r="AB15" s="23">
        <f t="shared" si="14"/>
        <v>965.25096525096501</v>
      </c>
      <c r="AC15" s="23"/>
      <c r="AD15" s="23">
        <f t="shared" si="15"/>
        <v>643.50064350064304</v>
      </c>
      <c r="AE15" s="23">
        <f t="shared" si="16"/>
        <v>643.50064350064304</v>
      </c>
      <c r="AF15" s="23">
        <f t="shared" si="17"/>
        <v>9382.59</v>
      </c>
      <c r="AG15" s="23">
        <f t="shared" si="18"/>
        <v>1287.0012870012899</v>
      </c>
      <c r="AH15" s="23">
        <f t="shared" si="19"/>
        <v>0</v>
      </c>
      <c r="AI15" s="47">
        <v>1</v>
      </c>
      <c r="AJ15" s="23">
        <f t="shared" si="20"/>
        <v>75</v>
      </c>
      <c r="AK15" s="23">
        <f t="shared" si="21"/>
        <v>125.10120000000001</v>
      </c>
      <c r="AL15" s="23">
        <f t="shared" si="22"/>
        <v>17.160017160017201</v>
      </c>
      <c r="AM15" s="23">
        <f t="shared" si="23"/>
        <v>0</v>
      </c>
      <c r="AN15" s="23" t="s">
        <v>12</v>
      </c>
      <c r="AO15" s="23">
        <f t="shared" si="24"/>
        <v>142.261217160017</v>
      </c>
    </row>
    <row r="16" spans="1:41">
      <c r="A16" s="5">
        <v>7</v>
      </c>
      <c r="B16" s="5" t="s">
        <v>79</v>
      </c>
      <c r="C16" s="5" t="s">
        <v>80</v>
      </c>
      <c r="D16" s="5" t="s">
        <v>12</v>
      </c>
      <c r="E16" s="5" t="s">
        <v>12</v>
      </c>
      <c r="F16" s="47">
        <v>28</v>
      </c>
      <c r="G16" s="23">
        <v>157.44999999999999</v>
      </c>
      <c r="H16" s="23">
        <f t="shared" si="0"/>
        <v>4408.6000000000004</v>
      </c>
      <c r="I16" s="9">
        <v>0.01</v>
      </c>
      <c r="J16" s="9">
        <v>0.02</v>
      </c>
      <c r="K16" s="9">
        <v>2.5000000000000001E-2</v>
      </c>
      <c r="L16" s="23">
        <f t="shared" si="1"/>
        <v>4408.6000000000004</v>
      </c>
      <c r="M16" s="23">
        <f t="shared" si="2"/>
        <v>44.09</v>
      </c>
      <c r="N16" s="23">
        <f t="shared" si="3"/>
        <v>4364.51</v>
      </c>
      <c r="O16" s="23">
        <f t="shared" si="4"/>
        <v>87.29</v>
      </c>
      <c r="P16" s="23">
        <f t="shared" si="5"/>
        <v>4277.22</v>
      </c>
      <c r="Q16" s="23">
        <f t="shared" si="6"/>
        <v>106.93</v>
      </c>
      <c r="R16" s="23">
        <f t="shared" si="7"/>
        <v>238.31</v>
      </c>
      <c r="S16" s="23">
        <f t="shared" si="8"/>
        <v>4170.29</v>
      </c>
      <c r="T16" s="23" t="s">
        <v>97</v>
      </c>
      <c r="U16" s="9">
        <v>0.12</v>
      </c>
      <c r="V16" s="23">
        <f t="shared" si="9"/>
        <v>0</v>
      </c>
      <c r="W16" s="23">
        <f t="shared" si="10"/>
        <v>0</v>
      </c>
      <c r="X16" s="23">
        <f t="shared" si="11"/>
        <v>500.43</v>
      </c>
      <c r="Y16" s="23">
        <f t="shared" si="12"/>
        <v>500.43</v>
      </c>
      <c r="Z16" s="23">
        <f t="shared" si="13"/>
        <v>4670.72</v>
      </c>
      <c r="AA16" s="23">
        <v>350</v>
      </c>
      <c r="AB16" s="23">
        <f t="shared" si="14"/>
        <v>1351.3513513513501</v>
      </c>
      <c r="AC16" s="23"/>
      <c r="AD16" s="23">
        <f t="shared" si="15"/>
        <v>900.90090090090098</v>
      </c>
      <c r="AE16" s="23">
        <f t="shared" si="16"/>
        <v>900.90090090090098</v>
      </c>
      <c r="AF16" s="23">
        <f t="shared" si="17"/>
        <v>4170.29</v>
      </c>
      <c r="AG16" s="23">
        <f t="shared" si="18"/>
        <v>1801.8018018017999</v>
      </c>
      <c r="AH16" s="23">
        <f t="shared" si="19"/>
        <v>0</v>
      </c>
      <c r="AI16" s="47">
        <v>1</v>
      </c>
      <c r="AJ16" s="23">
        <f t="shared" si="20"/>
        <v>28</v>
      </c>
      <c r="AK16" s="23">
        <f t="shared" si="21"/>
        <v>148.93892857142899</v>
      </c>
      <c r="AL16" s="23">
        <f t="shared" si="22"/>
        <v>64.350064350064301</v>
      </c>
      <c r="AM16" s="23">
        <f t="shared" si="23"/>
        <v>0</v>
      </c>
      <c r="AN16" s="23" t="s">
        <v>12</v>
      </c>
      <c r="AO16" s="23">
        <f t="shared" si="24"/>
        <v>213.28899292149299</v>
      </c>
    </row>
    <row r="17" spans="1:41">
      <c r="A17" s="5">
        <v>8</v>
      </c>
      <c r="B17" s="5" t="s">
        <v>81</v>
      </c>
      <c r="C17" s="5" t="s">
        <v>82</v>
      </c>
      <c r="D17" s="5" t="s">
        <v>12</v>
      </c>
      <c r="E17" s="5" t="s">
        <v>12</v>
      </c>
      <c r="F17" s="47">
        <v>30</v>
      </c>
      <c r="G17" s="23">
        <v>75.45</v>
      </c>
      <c r="H17" s="23">
        <f t="shared" si="0"/>
        <v>2263.5</v>
      </c>
      <c r="I17" s="9">
        <v>0.01</v>
      </c>
      <c r="J17" s="9">
        <v>0.02</v>
      </c>
      <c r="K17" s="9">
        <v>2.5000000000000001E-2</v>
      </c>
      <c r="L17" s="23">
        <f t="shared" si="1"/>
        <v>2263.5</v>
      </c>
      <c r="M17" s="23">
        <f t="shared" si="2"/>
        <v>22.64</v>
      </c>
      <c r="N17" s="23">
        <f t="shared" si="3"/>
        <v>2240.86</v>
      </c>
      <c r="O17" s="23">
        <f t="shared" si="4"/>
        <v>44.82</v>
      </c>
      <c r="P17" s="23">
        <f t="shared" si="5"/>
        <v>2196.04</v>
      </c>
      <c r="Q17" s="23">
        <f t="shared" si="6"/>
        <v>54.9</v>
      </c>
      <c r="R17" s="23">
        <f t="shared" si="7"/>
        <v>122.36</v>
      </c>
      <c r="S17" s="23">
        <f t="shared" si="8"/>
        <v>2141.14</v>
      </c>
      <c r="T17" s="23" t="s">
        <v>97</v>
      </c>
      <c r="U17" s="9">
        <v>0.12</v>
      </c>
      <c r="V17" s="23">
        <f t="shared" si="9"/>
        <v>0</v>
      </c>
      <c r="W17" s="23">
        <f t="shared" si="10"/>
        <v>0</v>
      </c>
      <c r="X17" s="23">
        <f t="shared" si="11"/>
        <v>256.94</v>
      </c>
      <c r="Y17" s="23">
        <f t="shared" si="12"/>
        <v>256.94</v>
      </c>
      <c r="Z17" s="23">
        <f t="shared" si="13"/>
        <v>2398.08</v>
      </c>
      <c r="AA17" s="23">
        <v>450</v>
      </c>
      <c r="AB17" s="23">
        <f t="shared" si="14"/>
        <v>1737.45173745174</v>
      </c>
      <c r="AC17" s="23"/>
      <c r="AD17" s="23">
        <f t="shared" si="15"/>
        <v>1158.3011583011601</v>
      </c>
      <c r="AE17" s="23">
        <f t="shared" si="16"/>
        <v>1158.3011583011601</v>
      </c>
      <c r="AF17" s="23">
        <f t="shared" si="17"/>
        <v>2141.14</v>
      </c>
      <c r="AG17" s="23">
        <f t="shared" si="18"/>
        <v>2316.6023166023201</v>
      </c>
      <c r="AH17" s="23">
        <f t="shared" si="19"/>
        <v>0</v>
      </c>
      <c r="AI17" s="47">
        <v>1</v>
      </c>
      <c r="AJ17" s="23">
        <f t="shared" si="20"/>
        <v>30</v>
      </c>
      <c r="AK17" s="23">
        <f t="shared" si="21"/>
        <v>71.371333333333297</v>
      </c>
      <c r="AL17" s="23">
        <f t="shared" si="22"/>
        <v>77.220077220077201</v>
      </c>
      <c r="AM17" s="23">
        <f t="shared" si="23"/>
        <v>0</v>
      </c>
      <c r="AN17" s="23" t="s">
        <v>12</v>
      </c>
      <c r="AO17" s="23">
        <f t="shared" si="24"/>
        <v>148.59141055341101</v>
      </c>
    </row>
    <row r="18" spans="1:41">
      <c r="A18" s="5">
        <v>9</v>
      </c>
      <c r="B18" s="5" t="s">
        <v>83</v>
      </c>
      <c r="C18" s="5" t="s">
        <v>84</v>
      </c>
      <c r="D18" s="5" t="s">
        <v>12</v>
      </c>
      <c r="E18" s="5" t="s">
        <v>12</v>
      </c>
      <c r="F18" s="47">
        <v>25</v>
      </c>
      <c r="G18" s="23">
        <v>75.349999999999994</v>
      </c>
      <c r="H18" s="23">
        <f t="shared" si="0"/>
        <v>1883.75</v>
      </c>
      <c r="I18" s="9">
        <v>0.01</v>
      </c>
      <c r="J18" s="9">
        <v>0.02</v>
      </c>
      <c r="K18" s="9">
        <v>2.5000000000000001E-2</v>
      </c>
      <c r="L18" s="23">
        <f t="shared" si="1"/>
        <v>1883.75</v>
      </c>
      <c r="M18" s="23">
        <f t="shared" si="2"/>
        <v>18.84</v>
      </c>
      <c r="N18" s="23">
        <f t="shared" si="3"/>
        <v>1864.91</v>
      </c>
      <c r="O18" s="23">
        <f t="shared" si="4"/>
        <v>37.299999999999997</v>
      </c>
      <c r="P18" s="23">
        <f t="shared" si="5"/>
        <v>1827.61</v>
      </c>
      <c r="Q18" s="23">
        <f t="shared" si="6"/>
        <v>45.69</v>
      </c>
      <c r="R18" s="23">
        <f t="shared" si="7"/>
        <v>101.83</v>
      </c>
      <c r="S18" s="23">
        <f t="shared" si="8"/>
        <v>1781.92</v>
      </c>
      <c r="T18" s="23" t="s">
        <v>97</v>
      </c>
      <c r="U18" s="9">
        <v>0.12</v>
      </c>
      <c r="V18" s="23">
        <f t="shared" si="9"/>
        <v>0</v>
      </c>
      <c r="W18" s="23">
        <f t="shared" si="10"/>
        <v>0</v>
      </c>
      <c r="X18" s="23">
        <f t="shared" si="11"/>
        <v>213.83</v>
      </c>
      <c r="Y18" s="23">
        <f t="shared" si="12"/>
        <v>213.83</v>
      </c>
      <c r="Z18" s="23">
        <f t="shared" si="13"/>
        <v>1995.75</v>
      </c>
      <c r="AA18" s="23">
        <v>400</v>
      </c>
      <c r="AB18" s="23">
        <f t="shared" si="14"/>
        <v>1544.4015444015399</v>
      </c>
      <c r="AC18" s="23"/>
      <c r="AD18" s="23">
        <f t="shared" si="15"/>
        <v>1029.6010296010299</v>
      </c>
      <c r="AE18" s="23">
        <f t="shared" si="16"/>
        <v>1029.6010296010299</v>
      </c>
      <c r="AF18" s="23">
        <f t="shared" si="17"/>
        <v>1781.92</v>
      </c>
      <c r="AG18" s="23">
        <f t="shared" si="18"/>
        <v>2059.2020592020599</v>
      </c>
      <c r="AH18" s="23">
        <f t="shared" si="19"/>
        <v>0</v>
      </c>
      <c r="AI18" s="47">
        <v>1</v>
      </c>
      <c r="AJ18" s="23">
        <f t="shared" si="20"/>
        <v>25</v>
      </c>
      <c r="AK18" s="23">
        <f t="shared" si="21"/>
        <v>71.276799999999994</v>
      </c>
      <c r="AL18" s="23">
        <f t="shared" si="22"/>
        <v>82.368082368082398</v>
      </c>
      <c r="AM18" s="23">
        <f t="shared" si="23"/>
        <v>0</v>
      </c>
      <c r="AN18" s="23" t="s">
        <v>12</v>
      </c>
      <c r="AO18" s="23">
        <f t="shared" si="24"/>
        <v>153.64488236808199</v>
      </c>
    </row>
    <row r="19" spans="1:41">
      <c r="A19" s="5">
        <v>10</v>
      </c>
      <c r="B19" s="5" t="s">
        <v>85</v>
      </c>
      <c r="C19" s="5" t="s">
        <v>86</v>
      </c>
      <c r="D19" s="5" t="s">
        <v>12</v>
      </c>
      <c r="E19" s="5" t="s">
        <v>12</v>
      </c>
      <c r="F19" s="47">
        <v>28</v>
      </c>
      <c r="G19" s="23">
        <v>82.45</v>
      </c>
      <c r="H19" s="23">
        <f t="shared" si="0"/>
        <v>2308.6</v>
      </c>
      <c r="I19" s="9">
        <v>0.01</v>
      </c>
      <c r="J19" s="9">
        <v>0.02</v>
      </c>
      <c r="K19" s="9">
        <v>2.5000000000000001E-2</v>
      </c>
      <c r="L19" s="23">
        <f t="shared" si="1"/>
        <v>2308.6</v>
      </c>
      <c r="M19" s="23">
        <f t="shared" si="2"/>
        <v>23.09</v>
      </c>
      <c r="N19" s="23">
        <f t="shared" si="3"/>
        <v>2285.5100000000002</v>
      </c>
      <c r="O19" s="23">
        <f t="shared" si="4"/>
        <v>45.71</v>
      </c>
      <c r="P19" s="23">
        <f t="shared" si="5"/>
        <v>2239.8000000000002</v>
      </c>
      <c r="Q19" s="23">
        <f t="shared" si="6"/>
        <v>56</v>
      </c>
      <c r="R19" s="23">
        <f t="shared" si="7"/>
        <v>124.8</v>
      </c>
      <c r="S19" s="23">
        <f t="shared" si="8"/>
        <v>2183.8000000000002</v>
      </c>
      <c r="T19" s="23" t="s">
        <v>97</v>
      </c>
      <c r="U19" s="9">
        <v>0.12</v>
      </c>
      <c r="V19" s="23">
        <f t="shared" si="9"/>
        <v>0</v>
      </c>
      <c r="W19" s="23">
        <f t="shared" si="10"/>
        <v>0</v>
      </c>
      <c r="X19" s="23">
        <f t="shared" si="11"/>
        <v>262.06</v>
      </c>
      <c r="Y19" s="23">
        <f t="shared" si="12"/>
        <v>262.06</v>
      </c>
      <c r="Z19" s="23">
        <f t="shared" si="13"/>
        <v>2445.86</v>
      </c>
      <c r="AA19" s="23">
        <v>200</v>
      </c>
      <c r="AB19" s="23">
        <f t="shared" si="14"/>
        <v>772.20077220077201</v>
      </c>
      <c r="AC19" s="23"/>
      <c r="AD19" s="23">
        <f t="shared" si="15"/>
        <v>514.80051480051497</v>
      </c>
      <c r="AE19" s="23">
        <f t="shared" si="16"/>
        <v>514.80051480051497</v>
      </c>
      <c r="AF19" s="23">
        <f t="shared" si="17"/>
        <v>2183.8000000000002</v>
      </c>
      <c r="AG19" s="23">
        <f t="shared" si="18"/>
        <v>1029.6010296010299</v>
      </c>
      <c r="AH19" s="23">
        <f t="shared" si="19"/>
        <v>0</v>
      </c>
      <c r="AI19" s="47">
        <v>1</v>
      </c>
      <c r="AJ19" s="23">
        <f t="shared" si="20"/>
        <v>28</v>
      </c>
      <c r="AK19" s="23">
        <f t="shared" si="21"/>
        <v>77.992857142857105</v>
      </c>
      <c r="AL19" s="23">
        <f t="shared" si="22"/>
        <v>36.771465342893897</v>
      </c>
      <c r="AM19" s="23">
        <f t="shared" si="23"/>
        <v>0</v>
      </c>
      <c r="AN19" s="23" t="s">
        <v>12</v>
      </c>
      <c r="AO19" s="23">
        <f t="shared" si="24"/>
        <v>114.76432248575099</v>
      </c>
    </row>
    <row r="20" spans="1:41">
      <c r="A20" s="5">
        <v>11</v>
      </c>
      <c r="B20" s="5" t="s">
        <v>87</v>
      </c>
      <c r="C20" s="5" t="s">
        <v>88</v>
      </c>
      <c r="D20" s="5" t="s">
        <v>12</v>
      </c>
      <c r="E20" s="5" t="s">
        <v>12</v>
      </c>
      <c r="F20" s="47">
        <v>37</v>
      </c>
      <c r="G20" s="23">
        <v>84.57</v>
      </c>
      <c r="H20" s="23">
        <f t="shared" si="0"/>
        <v>3129.09</v>
      </c>
      <c r="I20" s="9">
        <v>0.01</v>
      </c>
      <c r="J20" s="9">
        <v>0.02</v>
      </c>
      <c r="K20" s="9">
        <v>2.5000000000000001E-2</v>
      </c>
      <c r="L20" s="23">
        <f t="shared" si="1"/>
        <v>3129.09</v>
      </c>
      <c r="M20" s="23">
        <f t="shared" si="2"/>
        <v>31.29</v>
      </c>
      <c r="N20" s="23">
        <f t="shared" si="3"/>
        <v>3097.8</v>
      </c>
      <c r="O20" s="23">
        <f t="shared" si="4"/>
        <v>61.96</v>
      </c>
      <c r="P20" s="23">
        <f t="shared" si="5"/>
        <v>3035.84</v>
      </c>
      <c r="Q20" s="23">
        <f t="shared" si="6"/>
        <v>75.900000000000006</v>
      </c>
      <c r="R20" s="23">
        <f t="shared" si="7"/>
        <v>169.15</v>
      </c>
      <c r="S20" s="23">
        <f t="shared" si="8"/>
        <v>2959.94</v>
      </c>
      <c r="T20" s="23" t="s">
        <v>98</v>
      </c>
      <c r="U20" s="9">
        <v>0.12</v>
      </c>
      <c r="V20" s="23">
        <f t="shared" si="9"/>
        <v>0</v>
      </c>
      <c r="W20" s="23">
        <f t="shared" si="10"/>
        <v>0</v>
      </c>
      <c r="X20" s="23">
        <f t="shared" si="11"/>
        <v>355.19</v>
      </c>
      <c r="Y20" s="23">
        <f t="shared" si="12"/>
        <v>355.19</v>
      </c>
      <c r="Z20" s="23">
        <f t="shared" si="13"/>
        <v>3315.13</v>
      </c>
      <c r="AA20" s="23">
        <v>220</v>
      </c>
      <c r="AB20" s="23">
        <f t="shared" si="14"/>
        <v>849.42084942084898</v>
      </c>
      <c r="AC20" s="23"/>
      <c r="AD20" s="23">
        <f t="shared" si="15"/>
        <v>566.28056628056595</v>
      </c>
      <c r="AE20" s="23">
        <f t="shared" si="16"/>
        <v>566.28056628056595</v>
      </c>
      <c r="AF20" s="23">
        <f t="shared" si="17"/>
        <v>2959.94</v>
      </c>
      <c r="AG20" s="23">
        <f t="shared" si="18"/>
        <v>1132.5611325611301</v>
      </c>
      <c r="AH20" s="23">
        <f t="shared" si="19"/>
        <v>0</v>
      </c>
      <c r="AI20" s="47">
        <v>1</v>
      </c>
      <c r="AJ20" s="23">
        <f t="shared" si="20"/>
        <v>37</v>
      </c>
      <c r="AK20" s="23">
        <f t="shared" si="21"/>
        <v>79.998378378378405</v>
      </c>
      <c r="AL20" s="23">
        <f t="shared" si="22"/>
        <v>30.609760339490101</v>
      </c>
      <c r="AM20" s="23">
        <f t="shared" si="23"/>
        <v>0</v>
      </c>
      <c r="AN20" s="23" t="s">
        <v>12</v>
      </c>
      <c r="AO20" s="23">
        <f t="shared" si="24"/>
        <v>110.608138717868</v>
      </c>
    </row>
    <row r="21" spans="1:41">
      <c r="A21" s="5">
        <v>12</v>
      </c>
      <c r="B21" s="5" t="s">
        <v>89</v>
      </c>
      <c r="C21" s="5" t="s">
        <v>90</v>
      </c>
      <c r="D21" s="5" t="s">
        <v>12</v>
      </c>
      <c r="E21" s="5" t="s">
        <v>12</v>
      </c>
      <c r="F21" s="47">
        <v>39</v>
      </c>
      <c r="G21" s="23">
        <v>97.65</v>
      </c>
      <c r="H21" s="23">
        <f t="shared" si="0"/>
        <v>3808.35</v>
      </c>
      <c r="I21" s="9">
        <v>0.01</v>
      </c>
      <c r="J21" s="9">
        <v>0.02</v>
      </c>
      <c r="K21" s="9">
        <v>2.5000000000000001E-2</v>
      </c>
      <c r="L21" s="23">
        <f t="shared" si="1"/>
        <v>3808.35</v>
      </c>
      <c r="M21" s="23">
        <f t="shared" si="2"/>
        <v>38.08</v>
      </c>
      <c r="N21" s="23">
        <f t="shared" si="3"/>
        <v>3770.27</v>
      </c>
      <c r="O21" s="23">
        <f t="shared" si="4"/>
        <v>75.41</v>
      </c>
      <c r="P21" s="23">
        <f t="shared" si="5"/>
        <v>3694.86</v>
      </c>
      <c r="Q21" s="23">
        <f t="shared" si="6"/>
        <v>92.37</v>
      </c>
      <c r="R21" s="23">
        <f t="shared" si="7"/>
        <v>205.86</v>
      </c>
      <c r="S21" s="23">
        <f t="shared" si="8"/>
        <v>3602.49</v>
      </c>
      <c r="T21" s="23" t="s">
        <v>98</v>
      </c>
      <c r="U21" s="9">
        <v>0.05</v>
      </c>
      <c r="V21" s="23">
        <f t="shared" si="9"/>
        <v>0</v>
      </c>
      <c r="W21" s="23">
        <f t="shared" si="10"/>
        <v>0</v>
      </c>
      <c r="X21" s="23">
        <f t="shared" si="11"/>
        <v>180.12</v>
      </c>
      <c r="Y21" s="23">
        <f t="shared" si="12"/>
        <v>180.12</v>
      </c>
      <c r="Z21" s="23">
        <f t="shared" si="13"/>
        <v>3782.61</v>
      </c>
      <c r="AA21" s="23">
        <v>150</v>
      </c>
      <c r="AB21" s="23">
        <f t="shared" si="14"/>
        <v>579.15057915057901</v>
      </c>
      <c r="AC21" s="23"/>
      <c r="AD21" s="23">
        <f t="shared" si="15"/>
        <v>386.100386100386</v>
      </c>
      <c r="AE21" s="23">
        <f t="shared" si="16"/>
        <v>386.100386100386</v>
      </c>
      <c r="AF21" s="23">
        <f t="shared" si="17"/>
        <v>3602.49</v>
      </c>
      <c r="AG21" s="23">
        <f t="shared" si="18"/>
        <v>772.20077220077201</v>
      </c>
      <c r="AH21" s="23">
        <f t="shared" si="19"/>
        <v>0</v>
      </c>
      <c r="AI21" s="47">
        <v>1</v>
      </c>
      <c r="AJ21" s="23">
        <f t="shared" si="20"/>
        <v>39</v>
      </c>
      <c r="AK21" s="23">
        <f t="shared" si="21"/>
        <v>92.371538461538506</v>
      </c>
      <c r="AL21" s="23">
        <f t="shared" si="22"/>
        <v>19.8000198000198</v>
      </c>
      <c r="AM21" s="23">
        <f t="shared" si="23"/>
        <v>0</v>
      </c>
      <c r="AN21" s="23" t="s">
        <v>12</v>
      </c>
      <c r="AO21" s="23">
        <f t="shared" si="24"/>
        <v>112.171558261558</v>
      </c>
    </row>
    <row r="22" spans="1:41">
      <c r="A22" s="5">
        <v>13</v>
      </c>
      <c r="B22" s="5" t="s">
        <v>91</v>
      </c>
      <c r="C22" s="5" t="s">
        <v>92</v>
      </c>
      <c r="D22" s="5" t="s">
        <v>12</v>
      </c>
      <c r="E22" s="5" t="s">
        <v>12</v>
      </c>
      <c r="F22" s="47">
        <v>70</v>
      </c>
      <c r="G22" s="23">
        <v>105.89</v>
      </c>
      <c r="H22" s="23">
        <f t="shared" si="0"/>
        <v>7412.3</v>
      </c>
      <c r="I22" s="9">
        <v>0.01</v>
      </c>
      <c r="J22" s="9">
        <v>0.02</v>
      </c>
      <c r="K22" s="9">
        <v>2.5000000000000001E-2</v>
      </c>
      <c r="L22" s="23">
        <f t="shared" si="1"/>
        <v>7412.3</v>
      </c>
      <c r="M22" s="23">
        <f t="shared" si="2"/>
        <v>74.12</v>
      </c>
      <c r="N22" s="23">
        <f t="shared" si="3"/>
        <v>7338.18</v>
      </c>
      <c r="O22" s="23">
        <f t="shared" si="4"/>
        <v>146.76</v>
      </c>
      <c r="P22" s="23">
        <f t="shared" si="5"/>
        <v>7191.42</v>
      </c>
      <c r="Q22" s="23">
        <f t="shared" si="6"/>
        <v>179.79</v>
      </c>
      <c r="R22" s="23">
        <f t="shared" si="7"/>
        <v>400.67</v>
      </c>
      <c r="S22" s="23">
        <f t="shared" si="8"/>
        <v>7011.63</v>
      </c>
      <c r="T22" s="23" t="s">
        <v>98</v>
      </c>
      <c r="U22" s="9">
        <v>0.05</v>
      </c>
      <c r="V22" s="23">
        <f t="shared" si="9"/>
        <v>0</v>
      </c>
      <c r="W22" s="23">
        <f t="shared" si="10"/>
        <v>0</v>
      </c>
      <c r="X22" s="23">
        <f t="shared" si="11"/>
        <v>350.58</v>
      </c>
      <c r="Y22" s="23">
        <f t="shared" si="12"/>
        <v>350.58</v>
      </c>
      <c r="Z22" s="23">
        <f t="shared" si="13"/>
        <v>7362.21</v>
      </c>
      <c r="AA22" s="23">
        <v>330</v>
      </c>
      <c r="AB22" s="23">
        <f t="shared" si="14"/>
        <v>1274.1312741312699</v>
      </c>
      <c r="AC22" s="23"/>
      <c r="AD22" s="23">
        <f t="shared" si="15"/>
        <v>849.42084942084898</v>
      </c>
      <c r="AE22" s="23">
        <f t="shared" si="16"/>
        <v>849.42084942084898</v>
      </c>
      <c r="AF22" s="23">
        <f t="shared" si="17"/>
        <v>7011.63</v>
      </c>
      <c r="AG22" s="23">
        <f t="shared" si="18"/>
        <v>1698.8416988417</v>
      </c>
      <c r="AH22" s="23">
        <f t="shared" si="19"/>
        <v>0</v>
      </c>
      <c r="AI22" s="47">
        <v>1</v>
      </c>
      <c r="AJ22" s="23">
        <f t="shared" si="20"/>
        <v>70</v>
      </c>
      <c r="AK22" s="23">
        <f t="shared" si="21"/>
        <v>100.166142857143</v>
      </c>
      <c r="AL22" s="23">
        <f t="shared" si="22"/>
        <v>24.269167126309998</v>
      </c>
      <c r="AM22" s="23">
        <f t="shared" si="23"/>
        <v>0</v>
      </c>
      <c r="AN22" s="23" t="s">
        <v>12</v>
      </c>
      <c r="AO22" s="23">
        <f t="shared" si="24"/>
        <v>124.435309983453</v>
      </c>
    </row>
    <row r="23" spans="1:41">
      <c r="A23" s="5">
        <v>14</v>
      </c>
      <c r="B23" s="5" t="s">
        <v>93</v>
      </c>
      <c r="C23" s="5" t="s">
        <v>94</v>
      </c>
      <c r="D23" s="5" t="s">
        <v>12</v>
      </c>
      <c r="E23" s="5" t="s">
        <v>12</v>
      </c>
      <c r="F23" s="47">
        <v>100</v>
      </c>
      <c r="G23" s="23">
        <v>104.65</v>
      </c>
      <c r="H23" s="23">
        <f t="shared" si="0"/>
        <v>10465</v>
      </c>
      <c r="I23" s="9">
        <v>0.01</v>
      </c>
      <c r="J23" s="9">
        <v>0.02</v>
      </c>
      <c r="K23" s="9">
        <v>2.5000000000000001E-2</v>
      </c>
      <c r="L23" s="23">
        <f t="shared" si="1"/>
        <v>10465</v>
      </c>
      <c r="M23" s="23">
        <f t="shared" si="2"/>
        <v>104.65</v>
      </c>
      <c r="N23" s="23">
        <f t="shared" si="3"/>
        <v>10360.35</v>
      </c>
      <c r="O23" s="23">
        <f t="shared" si="4"/>
        <v>207.21</v>
      </c>
      <c r="P23" s="23">
        <f t="shared" si="5"/>
        <v>10153.14</v>
      </c>
      <c r="Q23" s="23">
        <f t="shared" si="6"/>
        <v>253.83</v>
      </c>
      <c r="R23" s="23">
        <f t="shared" si="7"/>
        <v>565.69000000000005</v>
      </c>
      <c r="S23" s="23">
        <f t="shared" si="8"/>
        <v>9899.31</v>
      </c>
      <c r="T23" s="23" t="s">
        <v>99</v>
      </c>
      <c r="U23" s="9">
        <v>0.28000000000000003</v>
      </c>
      <c r="V23" s="23">
        <f t="shared" si="9"/>
        <v>0</v>
      </c>
      <c r="W23" s="23">
        <f t="shared" si="10"/>
        <v>0</v>
      </c>
      <c r="X23" s="23">
        <f t="shared" si="11"/>
        <v>2771.81</v>
      </c>
      <c r="Y23" s="23">
        <f t="shared" si="12"/>
        <v>2771.81</v>
      </c>
      <c r="Z23" s="23">
        <f t="shared" si="13"/>
        <v>12671.12</v>
      </c>
      <c r="AA23" s="23">
        <v>345</v>
      </c>
      <c r="AB23" s="23">
        <f t="shared" si="14"/>
        <v>1332.04633204633</v>
      </c>
      <c r="AC23" s="23"/>
      <c r="AD23" s="23">
        <f t="shared" si="15"/>
        <v>888.03088803088804</v>
      </c>
      <c r="AE23" s="23">
        <f t="shared" si="16"/>
        <v>888.03088803088804</v>
      </c>
      <c r="AF23" s="23">
        <f t="shared" si="17"/>
        <v>9899.31</v>
      </c>
      <c r="AG23" s="23">
        <f t="shared" si="18"/>
        <v>1776.0617760617799</v>
      </c>
      <c r="AH23" s="23">
        <f t="shared" si="19"/>
        <v>0</v>
      </c>
      <c r="AI23" s="47">
        <v>1</v>
      </c>
      <c r="AJ23" s="23">
        <f t="shared" si="20"/>
        <v>100</v>
      </c>
      <c r="AK23" s="23">
        <f t="shared" si="21"/>
        <v>98.993099999999998</v>
      </c>
      <c r="AL23" s="23">
        <f t="shared" si="22"/>
        <v>17.760617760617802</v>
      </c>
      <c r="AM23" s="23">
        <f t="shared" si="23"/>
        <v>0</v>
      </c>
      <c r="AN23" s="23" t="s">
        <v>12</v>
      </c>
      <c r="AO23" s="23">
        <f t="shared" si="24"/>
        <v>116.753717760618</v>
      </c>
    </row>
    <row r="24" spans="1:41">
      <c r="A24" s="5">
        <v>15</v>
      </c>
      <c r="B24" s="5" t="s">
        <v>95</v>
      </c>
      <c r="C24" s="5" t="s">
        <v>96</v>
      </c>
      <c r="D24" s="5" t="s">
        <v>12</v>
      </c>
      <c r="E24" s="5" t="s">
        <v>12</v>
      </c>
      <c r="F24" s="47">
        <v>85</v>
      </c>
      <c r="G24" s="23">
        <v>66.36</v>
      </c>
      <c r="H24" s="23">
        <f t="shared" si="0"/>
        <v>5640.6</v>
      </c>
      <c r="I24" s="9">
        <v>0.01</v>
      </c>
      <c r="J24" s="9">
        <v>0.02</v>
      </c>
      <c r="K24" s="9">
        <v>2.5000000000000001E-2</v>
      </c>
      <c r="L24" s="23">
        <f t="shared" si="1"/>
        <v>5640.6</v>
      </c>
      <c r="M24" s="23">
        <f t="shared" si="2"/>
        <v>56.41</v>
      </c>
      <c r="N24" s="23">
        <f t="shared" si="3"/>
        <v>5584.19</v>
      </c>
      <c r="O24" s="23">
        <f t="shared" si="4"/>
        <v>111.68</v>
      </c>
      <c r="P24" s="23">
        <f t="shared" si="5"/>
        <v>5472.51</v>
      </c>
      <c r="Q24" s="23">
        <f t="shared" si="6"/>
        <v>136.81</v>
      </c>
      <c r="R24" s="23">
        <f t="shared" si="7"/>
        <v>304.89999999999998</v>
      </c>
      <c r="S24" s="23">
        <f t="shared" si="8"/>
        <v>5335.7</v>
      </c>
      <c r="T24" s="23" t="s">
        <v>99</v>
      </c>
      <c r="U24" s="9">
        <v>0.28000000000000003</v>
      </c>
      <c r="V24" s="23">
        <f t="shared" si="9"/>
        <v>0</v>
      </c>
      <c r="W24" s="23">
        <f t="shared" si="10"/>
        <v>0</v>
      </c>
      <c r="X24" s="23">
        <f t="shared" si="11"/>
        <v>1494</v>
      </c>
      <c r="Y24" s="23">
        <f t="shared" si="12"/>
        <v>1494</v>
      </c>
      <c r="Z24" s="23">
        <f t="shared" si="13"/>
        <v>6829.7</v>
      </c>
      <c r="AA24" s="23">
        <v>220</v>
      </c>
      <c r="AB24" s="23">
        <f t="shared" si="14"/>
        <v>849.42084942084898</v>
      </c>
      <c r="AC24" s="23"/>
      <c r="AD24" s="23">
        <f t="shared" si="15"/>
        <v>566.28056628056595</v>
      </c>
      <c r="AE24" s="23">
        <f t="shared" si="16"/>
        <v>566.28056628056595</v>
      </c>
      <c r="AF24" s="23">
        <f t="shared" si="17"/>
        <v>5335.7</v>
      </c>
      <c r="AG24" s="23">
        <f t="shared" si="18"/>
        <v>1132.5611325611301</v>
      </c>
      <c r="AH24" s="23">
        <f t="shared" si="19"/>
        <v>0</v>
      </c>
      <c r="AI24" s="47">
        <v>1</v>
      </c>
      <c r="AJ24" s="23">
        <f t="shared" si="20"/>
        <v>85</v>
      </c>
      <c r="AK24" s="23">
        <f t="shared" si="21"/>
        <v>62.772941176470603</v>
      </c>
      <c r="AL24" s="23">
        <f t="shared" si="22"/>
        <v>13.324248618366299</v>
      </c>
      <c r="AM24" s="23">
        <f t="shared" si="23"/>
        <v>0</v>
      </c>
      <c r="AN24" s="23" t="s">
        <v>12</v>
      </c>
      <c r="AO24" s="23">
        <f t="shared" si="24"/>
        <v>76.097189794836893</v>
      </c>
    </row>
    <row r="25" spans="1:41">
      <c r="B25" s="81" t="s">
        <v>14</v>
      </c>
      <c r="C25" s="81"/>
      <c r="D25" s="81"/>
      <c r="E25" s="81"/>
      <c r="F25" s="81"/>
      <c r="G25" s="81"/>
      <c r="H25" s="48">
        <f>SUM(H10:H24)</f>
        <v>73321.039999999994</v>
      </c>
      <c r="I25" s="5"/>
      <c r="J25" s="5"/>
      <c r="K25" s="5"/>
      <c r="L25" s="5"/>
      <c r="M25" s="5"/>
      <c r="N25" s="5"/>
      <c r="O25" s="5"/>
      <c r="P25" s="5"/>
      <c r="Q25" s="5"/>
      <c r="R25" s="7">
        <f t="shared" ref="R25:AB25" si="25">SUM(R10:R24)</f>
        <v>3931.47</v>
      </c>
      <c r="S25" s="7">
        <f t="shared" si="25"/>
        <v>69389.570000000007</v>
      </c>
      <c r="T25" s="7"/>
      <c r="U25" s="7"/>
      <c r="V25" s="48">
        <f t="shared" si="25"/>
        <v>0</v>
      </c>
      <c r="W25" s="48">
        <f t="shared" si="25"/>
        <v>0</v>
      </c>
      <c r="X25" s="48">
        <f t="shared" si="25"/>
        <v>11276.61</v>
      </c>
      <c r="Y25" s="7">
        <f t="shared" si="25"/>
        <v>11276.61</v>
      </c>
      <c r="Z25" s="18">
        <f t="shared" si="25"/>
        <v>80666.179999999993</v>
      </c>
      <c r="AA25" s="69">
        <f t="shared" si="25"/>
        <v>3885</v>
      </c>
      <c r="AB25" s="69">
        <f t="shared" si="25"/>
        <v>15000</v>
      </c>
      <c r="AC25" s="18"/>
      <c r="AD25" s="69">
        <f t="shared" ref="AD25:AH25" si="26">SUM(AD10:AD24)</f>
        <v>10000</v>
      </c>
      <c r="AE25" s="69">
        <f t="shared" si="26"/>
        <v>10000</v>
      </c>
      <c r="AF25" s="69">
        <f t="shared" si="26"/>
        <v>69389.570000000007</v>
      </c>
      <c r="AG25" s="69">
        <f t="shared" si="26"/>
        <v>20000</v>
      </c>
      <c r="AH25" s="69">
        <f t="shared" si="26"/>
        <v>0</v>
      </c>
      <c r="AI25" s="18"/>
      <c r="AJ25" s="18"/>
      <c r="AK25" s="18"/>
      <c r="AL25" s="18"/>
      <c r="AM25" s="18"/>
      <c r="AN25" s="18"/>
      <c r="AO25" s="18"/>
    </row>
    <row r="27" spans="1:41">
      <c r="E27" s="2" t="s">
        <v>100</v>
      </c>
    </row>
    <row r="28" spans="1:41" ht="15">
      <c r="B28" t="s">
        <v>101</v>
      </c>
      <c r="C28" t="s">
        <v>102</v>
      </c>
      <c r="D28" s="2" t="s">
        <v>103</v>
      </c>
      <c r="G28" s="2">
        <f>E28*F28</f>
        <v>0</v>
      </c>
    </row>
    <row r="29" spans="1:41" ht="15">
      <c r="B29" s="49">
        <v>0.05</v>
      </c>
      <c r="C29" s="50">
        <v>10614.12</v>
      </c>
      <c r="D29" s="51">
        <f t="shared" ref="D29:D32" si="27">B29*C29</f>
        <v>530.70600000000002</v>
      </c>
    </row>
    <row r="30" spans="1:41" ht="15">
      <c r="B30" s="49">
        <v>0.12</v>
      </c>
      <c r="C30" s="50">
        <v>22619.68</v>
      </c>
      <c r="D30" s="51">
        <f t="shared" si="27"/>
        <v>2714.3616000000002</v>
      </c>
    </row>
    <row r="31" spans="1:41" ht="15">
      <c r="B31" s="49">
        <v>0.18</v>
      </c>
      <c r="C31" s="50">
        <v>21276.58</v>
      </c>
      <c r="D31" s="51">
        <f t="shared" si="27"/>
        <v>3829.7844</v>
      </c>
      <c r="Q31"/>
      <c r="R31"/>
      <c r="S31"/>
    </row>
    <row r="32" spans="1:41" ht="15">
      <c r="B32" s="49">
        <v>0.28000000000000003</v>
      </c>
      <c r="C32" s="50">
        <v>15235.01</v>
      </c>
      <c r="D32" s="51">
        <f t="shared" si="27"/>
        <v>4265.8028000000004</v>
      </c>
      <c r="H32" s="52"/>
      <c r="I32" s="85"/>
      <c r="J32" s="85"/>
      <c r="K32" s="10"/>
      <c r="Q32"/>
      <c r="R32"/>
      <c r="S32"/>
    </row>
    <row r="33" spans="2:23" ht="15">
      <c r="B33" s="49" t="s">
        <v>104</v>
      </c>
      <c r="C33" s="53">
        <v>69745.39</v>
      </c>
      <c r="D33" s="54">
        <f>SUM(D29:D32)</f>
        <v>11340.6548</v>
      </c>
      <c r="H33" s="52"/>
      <c r="I33" s="85"/>
      <c r="J33" s="85"/>
      <c r="Q33"/>
      <c r="R33"/>
      <c r="S33"/>
    </row>
    <row r="34" spans="2:23" ht="15">
      <c r="H34" s="52"/>
      <c r="I34" s="85"/>
      <c r="J34" s="85"/>
      <c r="Q34"/>
      <c r="R34"/>
      <c r="S34"/>
    </row>
    <row r="35" spans="2:23" ht="15">
      <c r="G35" s="86"/>
      <c r="H35" s="86"/>
      <c r="I35" s="85"/>
      <c r="J35" s="85"/>
      <c r="Q35"/>
      <c r="R35"/>
      <c r="S35"/>
    </row>
    <row r="36" spans="2:23" ht="15">
      <c r="B36" s="2" t="s">
        <v>43</v>
      </c>
      <c r="E36" s="2">
        <v>15000</v>
      </c>
      <c r="G36" s="86"/>
      <c r="H36" s="86"/>
      <c r="I36" s="85"/>
      <c r="J36" s="85"/>
      <c r="Q36"/>
      <c r="R36"/>
      <c r="S36"/>
    </row>
    <row r="37" spans="2:23" ht="15">
      <c r="B37" s="2" t="s">
        <v>39</v>
      </c>
      <c r="N37"/>
      <c r="O37"/>
      <c r="P37"/>
      <c r="Q37"/>
      <c r="R37"/>
      <c r="S37"/>
    </row>
    <row r="38" spans="2:23" ht="15">
      <c r="B38" s="2" t="s">
        <v>45</v>
      </c>
      <c r="E38" s="2">
        <v>10000</v>
      </c>
      <c r="N38"/>
      <c r="O38"/>
      <c r="P38"/>
      <c r="Q38"/>
      <c r="R38"/>
      <c r="S38"/>
    </row>
    <row r="39" spans="2:23" ht="15">
      <c r="B39" s="2" t="s">
        <v>46</v>
      </c>
      <c r="E39" s="2">
        <v>15000</v>
      </c>
      <c r="N39"/>
      <c r="O39"/>
      <c r="P39"/>
      <c r="Q39"/>
      <c r="R39"/>
      <c r="S39"/>
    </row>
    <row r="40" spans="2:23" ht="15">
      <c r="N40"/>
      <c r="O40"/>
      <c r="P40"/>
      <c r="Q40"/>
      <c r="R40"/>
      <c r="S40"/>
    </row>
    <row r="41" spans="2:23" ht="15">
      <c r="N41"/>
      <c r="O41"/>
      <c r="P41"/>
      <c r="Q41"/>
      <c r="R41"/>
      <c r="S41"/>
    </row>
    <row r="42" spans="2:23" ht="15">
      <c r="N42"/>
      <c r="O42"/>
      <c r="P42"/>
      <c r="Q42"/>
      <c r="R42"/>
      <c r="S42"/>
    </row>
    <row r="43" spans="2:23" ht="15">
      <c r="N43"/>
      <c r="O43"/>
      <c r="P43"/>
      <c r="Q43"/>
      <c r="R43"/>
      <c r="S43"/>
    </row>
    <row r="44" spans="2:23">
      <c r="B44" s="25" t="s">
        <v>2</v>
      </c>
      <c r="C44" s="26" t="s">
        <v>3</v>
      </c>
      <c r="D44" s="27" t="s">
        <v>4</v>
      </c>
      <c r="E44" s="27" t="s">
        <v>105</v>
      </c>
      <c r="F44" s="27" t="s">
        <v>106</v>
      </c>
      <c r="G44" s="26" t="s">
        <v>107</v>
      </c>
      <c r="H44" s="26" t="s">
        <v>55</v>
      </c>
      <c r="I44" s="60" t="s">
        <v>108</v>
      </c>
      <c r="J44" s="60" t="s">
        <v>109</v>
      </c>
      <c r="K44" s="61" t="s">
        <v>110</v>
      </c>
      <c r="L44" s="61" t="s">
        <v>111</v>
      </c>
      <c r="M44" s="60" t="s">
        <v>112</v>
      </c>
      <c r="N44" s="60" t="s">
        <v>113</v>
      </c>
      <c r="O44" s="60" t="s">
        <v>114</v>
      </c>
      <c r="P44" s="60" t="s">
        <v>115</v>
      </c>
      <c r="Q44" s="60" t="s">
        <v>116</v>
      </c>
      <c r="R44" s="60" t="s">
        <v>117</v>
      </c>
      <c r="S44" s="60" t="s">
        <v>118</v>
      </c>
      <c r="T44" s="61" t="s">
        <v>119</v>
      </c>
      <c r="U44" s="61" t="s">
        <v>120</v>
      </c>
      <c r="V44" s="61" t="s">
        <v>121</v>
      </c>
      <c r="W44" s="64"/>
    </row>
    <row r="45" spans="2:23" ht="15">
      <c r="B45" s="29">
        <v>1</v>
      </c>
      <c r="C45" s="30" t="s">
        <v>67</v>
      </c>
      <c r="D45" s="30" t="s">
        <v>68</v>
      </c>
      <c r="E45" s="30"/>
      <c r="F45" s="30"/>
      <c r="G45" s="30" t="s">
        <v>122</v>
      </c>
      <c r="H45" s="30" t="s">
        <v>12</v>
      </c>
      <c r="I45" s="30">
        <v>67</v>
      </c>
      <c r="J45" s="30">
        <v>56</v>
      </c>
      <c r="K45" s="32">
        <f t="shared" ref="K45:K59" si="28">AJ10</f>
        <v>25</v>
      </c>
      <c r="L45" s="32">
        <f t="shared" ref="L45:L59" si="29">AO10</f>
        <v>259.04122471042501</v>
      </c>
      <c r="M45" s="32">
        <f t="shared" ref="M45:M59" si="30">I45+K45</f>
        <v>92</v>
      </c>
      <c r="N45" s="30">
        <f>ROUND(((I45*J45)+(K45*L45))/(I45+K45),5)</f>
        <v>111.17425</v>
      </c>
      <c r="O45" s="62"/>
      <c r="P45" s="62" t="s">
        <v>123</v>
      </c>
      <c r="Q45" s="62"/>
      <c r="R45" s="62"/>
      <c r="S45" s="62"/>
      <c r="T45" s="30"/>
      <c r="U45" s="30"/>
      <c r="V45" s="30"/>
      <c r="W45" s="65"/>
    </row>
    <row r="46" spans="2:23" ht="15">
      <c r="B46" s="29">
        <v>2</v>
      </c>
      <c r="C46" s="30" t="s">
        <v>69</v>
      </c>
      <c r="D46" s="30" t="s">
        <v>70</v>
      </c>
      <c r="E46" s="30"/>
      <c r="F46" s="30"/>
      <c r="G46" s="30" t="s">
        <v>122</v>
      </c>
      <c r="H46" s="30" t="s">
        <v>12</v>
      </c>
      <c r="I46" s="30"/>
      <c r="J46" s="30"/>
      <c r="K46" s="32">
        <f t="shared" si="28"/>
        <v>35</v>
      </c>
      <c r="L46" s="32">
        <f t="shared" si="29"/>
        <v>152.716886560029</v>
      </c>
      <c r="M46" s="32">
        <f t="shared" si="30"/>
        <v>35</v>
      </c>
      <c r="N46" s="30">
        <f t="shared" ref="N46:N59" si="31">((I46*J46)+(K46*L46))/(I46+K46)</f>
        <v>152.716886560029</v>
      </c>
      <c r="O46" s="62"/>
      <c r="P46" s="62"/>
      <c r="Q46" s="62"/>
      <c r="R46" s="62"/>
      <c r="S46" s="62"/>
      <c r="T46" s="30"/>
      <c r="U46" s="30"/>
      <c r="V46" s="30"/>
      <c r="W46" s="65"/>
    </row>
    <row r="47" spans="2:23" ht="15">
      <c r="B47" s="29">
        <v>3</v>
      </c>
      <c r="C47" s="30" t="s">
        <v>71</v>
      </c>
      <c r="D47" s="30" t="s">
        <v>72</v>
      </c>
      <c r="E47" s="30"/>
      <c r="F47" s="30"/>
      <c r="G47" s="30" t="s">
        <v>122</v>
      </c>
      <c r="H47" s="30" t="s">
        <v>12</v>
      </c>
      <c r="I47" s="30"/>
      <c r="J47" s="30"/>
      <c r="K47" s="32">
        <f t="shared" si="28"/>
        <v>45</v>
      </c>
      <c r="L47" s="32">
        <f t="shared" si="29"/>
        <v>142.348906048906</v>
      </c>
      <c r="M47" s="32">
        <f t="shared" si="30"/>
        <v>45</v>
      </c>
      <c r="N47" s="30">
        <f t="shared" si="31"/>
        <v>142.348906048906</v>
      </c>
      <c r="O47" s="62"/>
      <c r="P47" s="62"/>
      <c r="Q47" s="62"/>
      <c r="R47" s="62"/>
      <c r="S47" s="62"/>
      <c r="T47" s="30"/>
      <c r="U47" s="30"/>
      <c r="V47" s="30"/>
      <c r="W47" s="65"/>
    </row>
    <row r="48" spans="2:23" ht="15">
      <c r="B48" s="29">
        <v>4</v>
      </c>
      <c r="C48" s="30" t="s">
        <v>73</v>
      </c>
      <c r="D48" s="30" t="s">
        <v>74</v>
      </c>
      <c r="E48" s="30"/>
      <c r="F48" s="30"/>
      <c r="G48" s="30" t="s">
        <v>122</v>
      </c>
      <c r="H48" s="30" t="s">
        <v>12</v>
      </c>
      <c r="I48" s="30"/>
      <c r="J48" s="30"/>
      <c r="K48" s="32">
        <f t="shared" si="28"/>
        <v>55</v>
      </c>
      <c r="L48" s="32">
        <f t="shared" si="29"/>
        <v>72.754755352755396</v>
      </c>
      <c r="M48" s="32">
        <f t="shared" si="30"/>
        <v>55</v>
      </c>
      <c r="N48" s="30">
        <f t="shared" si="31"/>
        <v>72.754755352755396</v>
      </c>
      <c r="O48" s="62"/>
      <c r="P48" s="62"/>
      <c r="Q48" s="62"/>
      <c r="R48" s="62"/>
      <c r="S48" s="62"/>
      <c r="T48" s="30"/>
      <c r="U48" s="30"/>
      <c r="V48" s="30"/>
      <c r="W48" s="65"/>
    </row>
    <row r="49" spans="2:23" ht="15">
      <c r="B49" s="29">
        <v>5</v>
      </c>
      <c r="C49" s="30" t="s">
        <v>75</v>
      </c>
      <c r="D49" s="30" t="s">
        <v>76</v>
      </c>
      <c r="E49" s="30"/>
      <c r="F49" s="30"/>
      <c r="G49" s="30" t="s">
        <v>122</v>
      </c>
      <c r="H49" s="30" t="s">
        <v>12</v>
      </c>
      <c r="I49" s="30"/>
      <c r="J49" s="30"/>
      <c r="K49" s="32">
        <f t="shared" si="28"/>
        <v>60</v>
      </c>
      <c r="L49" s="32">
        <f t="shared" si="29"/>
        <v>61.433183826683802</v>
      </c>
      <c r="M49" s="32">
        <f t="shared" si="30"/>
        <v>60</v>
      </c>
      <c r="N49" s="30">
        <f t="shared" si="31"/>
        <v>61.433183826683802</v>
      </c>
      <c r="O49" s="62"/>
      <c r="P49" s="62"/>
      <c r="Q49" s="62"/>
      <c r="R49" s="62"/>
      <c r="S49" s="62"/>
      <c r="T49" s="30"/>
      <c r="U49" s="30"/>
      <c r="V49" s="30"/>
      <c r="W49" s="65"/>
    </row>
    <row r="50" spans="2:23" ht="15">
      <c r="B50" s="29">
        <v>6</v>
      </c>
      <c r="C50" s="30" t="s">
        <v>77</v>
      </c>
      <c r="D50" s="30" t="s">
        <v>78</v>
      </c>
      <c r="E50" s="30"/>
      <c r="F50" s="30"/>
      <c r="G50" s="30" t="s">
        <v>122</v>
      </c>
      <c r="H50" s="30" t="s">
        <v>12</v>
      </c>
      <c r="I50" s="30"/>
      <c r="J50" s="30"/>
      <c r="K50" s="32">
        <f t="shared" si="28"/>
        <v>75</v>
      </c>
      <c r="L50" s="32">
        <f t="shared" si="29"/>
        <v>142.261217160017</v>
      </c>
      <c r="M50" s="32">
        <f t="shared" si="30"/>
        <v>75</v>
      </c>
      <c r="N50" s="30">
        <f t="shared" si="31"/>
        <v>142.261217160017</v>
      </c>
      <c r="O50" s="62"/>
      <c r="P50" s="62"/>
      <c r="Q50" s="62"/>
      <c r="R50" s="62"/>
      <c r="S50" s="62"/>
      <c r="T50" s="30"/>
      <c r="U50" s="30"/>
      <c r="V50" s="30"/>
      <c r="W50" s="65"/>
    </row>
    <row r="51" spans="2:23" ht="15">
      <c r="B51" s="29">
        <v>7</v>
      </c>
      <c r="C51" s="30" t="s">
        <v>79</v>
      </c>
      <c r="D51" s="30" t="s">
        <v>80</v>
      </c>
      <c r="E51" s="30"/>
      <c r="F51" s="30"/>
      <c r="G51" s="30" t="s">
        <v>122</v>
      </c>
      <c r="H51" s="30" t="s">
        <v>12</v>
      </c>
      <c r="I51" s="30"/>
      <c r="J51" s="30"/>
      <c r="K51" s="32">
        <f t="shared" si="28"/>
        <v>28</v>
      </c>
      <c r="L51" s="32">
        <f t="shared" si="29"/>
        <v>213.28899292149299</v>
      </c>
      <c r="M51" s="32">
        <f t="shared" si="30"/>
        <v>28</v>
      </c>
      <c r="N51" s="30">
        <f t="shared" si="31"/>
        <v>213.28899292149299</v>
      </c>
      <c r="O51" s="62"/>
      <c r="P51" s="62"/>
      <c r="Q51" s="62"/>
      <c r="R51" s="62"/>
      <c r="S51" s="62"/>
      <c r="T51" s="30"/>
      <c r="U51" s="30"/>
      <c r="V51" s="30"/>
      <c r="W51" s="65"/>
    </row>
    <row r="52" spans="2:23" ht="15">
      <c r="B52" s="29">
        <v>8</v>
      </c>
      <c r="C52" s="30" t="s">
        <v>81</v>
      </c>
      <c r="D52" s="30" t="s">
        <v>82</v>
      </c>
      <c r="E52" s="30"/>
      <c r="F52" s="30"/>
      <c r="G52" s="30" t="s">
        <v>122</v>
      </c>
      <c r="H52" s="30" t="s">
        <v>12</v>
      </c>
      <c r="I52" s="30"/>
      <c r="J52" s="30"/>
      <c r="K52" s="32">
        <f t="shared" si="28"/>
        <v>30</v>
      </c>
      <c r="L52" s="32">
        <f t="shared" si="29"/>
        <v>148.59141055341101</v>
      </c>
      <c r="M52" s="32">
        <f t="shared" si="30"/>
        <v>30</v>
      </c>
      <c r="N52" s="30">
        <f t="shared" si="31"/>
        <v>148.59141055341101</v>
      </c>
      <c r="O52" s="62"/>
      <c r="P52" s="62"/>
      <c r="Q52" s="62"/>
      <c r="R52" s="62"/>
      <c r="S52" s="62"/>
      <c r="T52" s="30"/>
      <c r="U52" s="30"/>
      <c r="V52" s="30"/>
      <c r="W52" s="65"/>
    </row>
    <row r="53" spans="2:23">
      <c r="B53" s="29">
        <v>9</v>
      </c>
      <c r="C53" s="30" t="s">
        <v>83</v>
      </c>
      <c r="D53" s="30" t="s">
        <v>84</v>
      </c>
      <c r="E53" s="30"/>
      <c r="F53" s="30"/>
      <c r="G53" s="30" t="s">
        <v>122</v>
      </c>
      <c r="H53" s="30" t="s">
        <v>12</v>
      </c>
      <c r="I53" s="30"/>
      <c r="J53" s="30"/>
      <c r="K53" s="32">
        <f t="shared" si="28"/>
        <v>25</v>
      </c>
      <c r="L53" s="32">
        <f t="shared" si="29"/>
        <v>153.64488236808199</v>
      </c>
      <c r="M53" s="32">
        <f t="shared" si="30"/>
        <v>25</v>
      </c>
      <c r="N53" s="30">
        <f t="shared" si="31"/>
        <v>153.64488236808199</v>
      </c>
      <c r="O53" s="30"/>
      <c r="P53" s="30"/>
      <c r="Q53" s="30"/>
      <c r="R53" s="30"/>
      <c r="S53" s="30"/>
      <c r="T53" s="30"/>
      <c r="U53" s="30"/>
      <c r="V53" s="30"/>
      <c r="W53" s="65"/>
    </row>
    <row r="54" spans="2:23">
      <c r="B54" s="29">
        <v>10</v>
      </c>
      <c r="C54" s="30" t="s">
        <v>85</v>
      </c>
      <c r="D54" s="30" t="s">
        <v>86</v>
      </c>
      <c r="E54" s="30"/>
      <c r="F54" s="30"/>
      <c r="G54" s="30" t="s">
        <v>122</v>
      </c>
      <c r="H54" s="30" t="s">
        <v>12</v>
      </c>
      <c r="I54" s="30"/>
      <c r="J54" s="30"/>
      <c r="K54" s="32">
        <f t="shared" si="28"/>
        <v>28</v>
      </c>
      <c r="L54" s="32">
        <f t="shared" si="29"/>
        <v>114.76432248575099</v>
      </c>
      <c r="M54" s="32">
        <f t="shared" si="30"/>
        <v>28</v>
      </c>
      <c r="N54" s="30">
        <f t="shared" si="31"/>
        <v>114.76432248575099</v>
      </c>
      <c r="O54" s="30"/>
      <c r="P54" s="30"/>
      <c r="Q54" s="30"/>
      <c r="R54" s="30"/>
      <c r="S54" s="30"/>
      <c r="T54" s="30"/>
      <c r="U54" s="30"/>
      <c r="V54" s="30"/>
      <c r="W54" s="65"/>
    </row>
    <row r="55" spans="2:23">
      <c r="B55" s="29">
        <v>11</v>
      </c>
      <c r="C55" s="30" t="s">
        <v>87</v>
      </c>
      <c r="D55" s="30" t="s">
        <v>88</v>
      </c>
      <c r="E55" s="30"/>
      <c r="F55" s="30"/>
      <c r="G55" s="30" t="s">
        <v>122</v>
      </c>
      <c r="H55" s="30" t="s">
        <v>12</v>
      </c>
      <c r="I55" s="30"/>
      <c r="J55" s="30"/>
      <c r="K55" s="32">
        <f t="shared" si="28"/>
        <v>37</v>
      </c>
      <c r="L55" s="32">
        <f t="shared" si="29"/>
        <v>110.608138717868</v>
      </c>
      <c r="M55" s="32">
        <f t="shared" si="30"/>
        <v>37</v>
      </c>
      <c r="N55" s="30">
        <f t="shared" si="31"/>
        <v>110.608138717868</v>
      </c>
      <c r="O55" s="30"/>
      <c r="P55" s="30"/>
      <c r="Q55" s="30"/>
      <c r="R55" s="30"/>
      <c r="S55" s="30"/>
      <c r="T55" s="30"/>
      <c r="U55" s="30"/>
      <c r="V55" s="30"/>
      <c r="W55" s="65"/>
    </row>
    <row r="56" spans="2:23">
      <c r="B56" s="29">
        <v>12</v>
      </c>
      <c r="C56" s="30" t="s">
        <v>89</v>
      </c>
      <c r="D56" s="30" t="s">
        <v>90</v>
      </c>
      <c r="E56" s="30"/>
      <c r="F56" s="30"/>
      <c r="G56" s="30" t="s">
        <v>122</v>
      </c>
      <c r="H56" s="30" t="s">
        <v>12</v>
      </c>
      <c r="I56" s="30"/>
      <c r="J56" s="30"/>
      <c r="K56" s="32">
        <f t="shared" si="28"/>
        <v>39</v>
      </c>
      <c r="L56" s="32">
        <f t="shared" si="29"/>
        <v>112.171558261558</v>
      </c>
      <c r="M56" s="32">
        <f t="shared" si="30"/>
        <v>39</v>
      </c>
      <c r="N56" s="30">
        <f t="shared" si="31"/>
        <v>112.171558261558</v>
      </c>
      <c r="O56" s="30"/>
      <c r="P56" s="30"/>
      <c r="Q56" s="30"/>
      <c r="R56" s="30"/>
      <c r="S56" s="30"/>
      <c r="T56" s="30"/>
      <c r="U56" s="30"/>
      <c r="V56" s="30"/>
      <c r="W56" s="65"/>
    </row>
    <row r="57" spans="2:23">
      <c r="B57" s="29">
        <v>13</v>
      </c>
      <c r="C57" s="30" t="s">
        <v>91</v>
      </c>
      <c r="D57" s="30" t="s">
        <v>92</v>
      </c>
      <c r="E57" s="30"/>
      <c r="F57" s="30"/>
      <c r="G57" s="30" t="s">
        <v>122</v>
      </c>
      <c r="H57" s="30" t="s">
        <v>12</v>
      </c>
      <c r="I57" s="30"/>
      <c r="J57" s="30"/>
      <c r="K57" s="32">
        <f t="shared" si="28"/>
        <v>70</v>
      </c>
      <c r="L57" s="32">
        <f t="shared" si="29"/>
        <v>124.435309983453</v>
      </c>
      <c r="M57" s="32">
        <f t="shared" si="30"/>
        <v>70</v>
      </c>
      <c r="N57" s="30">
        <f t="shared" si="31"/>
        <v>124.435309983453</v>
      </c>
      <c r="O57" s="30"/>
      <c r="P57" s="30"/>
      <c r="Q57" s="30"/>
      <c r="R57" s="30"/>
      <c r="S57" s="30"/>
      <c r="T57" s="30"/>
      <c r="U57" s="30"/>
      <c r="V57" s="30"/>
      <c r="W57" s="65"/>
    </row>
    <row r="58" spans="2:23">
      <c r="B58" s="29">
        <v>14</v>
      </c>
      <c r="C58" s="30" t="s">
        <v>93</v>
      </c>
      <c r="D58" s="30" t="s">
        <v>94</v>
      </c>
      <c r="E58" s="30"/>
      <c r="F58" s="30"/>
      <c r="G58" s="30" t="s">
        <v>122</v>
      </c>
      <c r="H58" s="30" t="s">
        <v>12</v>
      </c>
      <c r="I58" s="30"/>
      <c r="J58" s="30"/>
      <c r="K58" s="32">
        <f t="shared" si="28"/>
        <v>100</v>
      </c>
      <c r="L58" s="32">
        <f t="shared" si="29"/>
        <v>116.753717760618</v>
      </c>
      <c r="M58" s="32">
        <f t="shared" si="30"/>
        <v>100</v>
      </c>
      <c r="N58" s="30">
        <f t="shared" si="31"/>
        <v>116.753717760618</v>
      </c>
      <c r="O58" s="30"/>
      <c r="P58" s="30"/>
      <c r="Q58" s="30"/>
      <c r="R58" s="30"/>
      <c r="S58" s="30"/>
      <c r="T58" s="30"/>
      <c r="U58" s="30"/>
      <c r="V58" s="30"/>
      <c r="W58" s="65"/>
    </row>
    <row r="59" spans="2:23">
      <c r="B59" s="34">
        <v>15</v>
      </c>
      <c r="C59" s="35" t="s">
        <v>95</v>
      </c>
      <c r="D59" s="35" t="s">
        <v>96</v>
      </c>
      <c r="E59" s="35"/>
      <c r="F59" s="35"/>
      <c r="G59" s="35" t="s">
        <v>122</v>
      </c>
      <c r="H59" s="35" t="s">
        <v>12</v>
      </c>
      <c r="I59" s="35"/>
      <c r="J59" s="35"/>
      <c r="K59" s="37">
        <f t="shared" si="28"/>
        <v>85</v>
      </c>
      <c r="L59" s="37">
        <f t="shared" si="29"/>
        <v>76.097189794836893</v>
      </c>
      <c r="M59" s="32">
        <f t="shared" si="30"/>
        <v>85</v>
      </c>
      <c r="N59" s="30">
        <f t="shared" si="31"/>
        <v>76.097189794836893</v>
      </c>
      <c r="O59" s="35"/>
      <c r="P59" s="35"/>
      <c r="Q59" s="35"/>
      <c r="R59" s="35"/>
      <c r="S59" s="35"/>
      <c r="T59" s="35"/>
      <c r="U59" s="35"/>
      <c r="V59" s="35"/>
      <c r="W59" s="66"/>
    </row>
  </sheetData>
  <mergeCells count="11">
    <mergeCell ref="I33:J33"/>
    <mergeCell ref="I34:J34"/>
    <mergeCell ref="G35:H35"/>
    <mergeCell ref="I35:J35"/>
    <mergeCell ref="G36:H36"/>
    <mergeCell ref="I36:J36"/>
    <mergeCell ref="A1:Z1"/>
    <mergeCell ref="B6:G6"/>
    <mergeCell ref="A8:B8"/>
    <mergeCell ref="B25:G25"/>
    <mergeCell ref="I32:J32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W24"/>
  <sheetViews>
    <sheetView showGridLines="0" zoomScale="90" zoomScaleNormal="90" workbookViewId="0">
      <selection activeCell="O8" sqref="O8"/>
    </sheetView>
  </sheetViews>
  <sheetFormatPr defaultColWidth="9.140625" defaultRowHeight="14.25"/>
  <cols>
    <col min="1" max="1" width="4.42578125" style="2" customWidth="1"/>
    <col min="2" max="2" width="8.5703125" style="2" customWidth="1"/>
    <col min="3" max="3" width="19.42578125" style="2" customWidth="1"/>
    <col min="4" max="4" width="10" style="2" customWidth="1"/>
    <col min="5" max="5" width="10.42578125" style="2" customWidth="1"/>
    <col min="6" max="6" width="4.5703125" style="2" customWidth="1"/>
    <col min="7" max="7" width="10.140625" style="2" customWidth="1"/>
    <col min="8" max="8" width="11.85546875" style="2" customWidth="1"/>
    <col min="9" max="9" width="6.42578125" style="2" customWidth="1"/>
    <col min="10" max="10" width="6.7109375" style="2" customWidth="1"/>
    <col min="11" max="11" width="6.85546875" style="2" customWidth="1"/>
    <col min="12" max="12" width="13.85546875" style="2" customWidth="1"/>
    <col min="13" max="13" width="9.140625" style="2" customWidth="1"/>
    <col min="14" max="14" width="13.7109375" style="2" customWidth="1"/>
    <col min="15" max="15" width="9" style="2" customWidth="1"/>
    <col min="16" max="16" width="13.85546875" style="2" customWidth="1"/>
    <col min="17" max="17" width="8.85546875" style="2" customWidth="1"/>
    <col min="18" max="18" width="14.42578125" style="2" customWidth="1"/>
    <col min="19" max="19" width="11.5703125" style="2" customWidth="1"/>
    <col min="20" max="20" width="7.7109375" style="2" customWidth="1"/>
    <col min="21" max="22" width="11.5703125" style="2" customWidth="1"/>
    <col min="23" max="23" width="14" style="2" customWidth="1"/>
    <col min="24" max="16384" width="9.140625" style="2"/>
  </cols>
  <sheetData>
    <row r="1" spans="1:23" ht="21" customHeight="1">
      <c r="A1" s="87" t="s">
        <v>124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3" s="1" customFormat="1" ht="28.5">
      <c r="A2" s="3" t="s">
        <v>125</v>
      </c>
      <c r="B2" s="3" t="s">
        <v>3</v>
      </c>
      <c r="C2" s="3" t="s">
        <v>126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24</v>
      </c>
      <c r="J2" s="4" t="s">
        <v>26</v>
      </c>
      <c r="K2" s="4" t="s">
        <v>25</v>
      </c>
      <c r="L2" s="8" t="s">
        <v>27</v>
      </c>
      <c r="M2" s="8" t="s">
        <v>28</v>
      </c>
      <c r="N2" s="8" t="s">
        <v>31</v>
      </c>
      <c r="O2" s="8" t="s">
        <v>32</v>
      </c>
      <c r="P2" s="8" t="s">
        <v>127</v>
      </c>
      <c r="Q2" s="8" t="s">
        <v>30</v>
      </c>
      <c r="R2" s="4" t="s">
        <v>33</v>
      </c>
      <c r="S2" s="3" t="s">
        <v>128</v>
      </c>
      <c r="T2" s="15" t="s">
        <v>129</v>
      </c>
      <c r="U2" s="15" t="s">
        <v>40</v>
      </c>
      <c r="V2" s="22" t="s">
        <v>41</v>
      </c>
      <c r="W2" s="17" t="s">
        <v>130</v>
      </c>
    </row>
    <row r="3" spans="1:23">
      <c r="A3" s="5">
        <v>1</v>
      </c>
      <c r="B3" s="5" t="s">
        <v>131</v>
      </c>
      <c r="C3" s="5" t="s">
        <v>132</v>
      </c>
      <c r="D3" s="5" t="s">
        <v>12</v>
      </c>
      <c r="E3" s="5" t="s">
        <v>133</v>
      </c>
      <c r="F3" s="5">
        <v>25</v>
      </c>
      <c r="G3" s="23">
        <v>257.63</v>
      </c>
      <c r="H3" s="23">
        <f>F3*G3</f>
        <v>6440.75</v>
      </c>
      <c r="I3" s="9">
        <v>0.01</v>
      </c>
      <c r="J3" s="9">
        <v>0.02</v>
      </c>
      <c r="K3" s="9">
        <v>2.5000000000000001E-2</v>
      </c>
      <c r="L3" s="23">
        <f>H3</f>
        <v>6440.75</v>
      </c>
      <c r="M3" s="23">
        <f>ROUND(L3*I3,2)</f>
        <v>64.41</v>
      </c>
      <c r="N3" s="23">
        <f>H3-M3</f>
        <v>6376.34</v>
      </c>
      <c r="O3" s="23">
        <f>ROUND(N3*J3,2)</f>
        <v>127.53</v>
      </c>
      <c r="P3" s="23">
        <f>ROUND(N3-O3,2)</f>
        <v>6248.81</v>
      </c>
      <c r="Q3" s="23">
        <f>ROUND(P3*K3,2)</f>
        <v>156.22</v>
      </c>
      <c r="R3" s="23">
        <f>ROUND((M3+O3+Q3),2)</f>
        <v>348.16</v>
      </c>
      <c r="S3" s="23">
        <f>ROUND((H3-R3),2)</f>
        <v>6092.59</v>
      </c>
      <c r="T3" s="9">
        <v>0.18</v>
      </c>
      <c r="U3" s="5">
        <f>ROUND((S3*18%),2)</f>
        <v>1096.67</v>
      </c>
      <c r="V3" s="5">
        <f>S3+U3</f>
        <v>7189.26</v>
      </c>
      <c r="W3" s="5">
        <f t="shared" ref="W3:W8" si="0">ROUND(G3*$O$21,2)</f>
        <v>515.26</v>
      </c>
    </row>
    <row r="4" spans="1:23">
      <c r="A4" s="5">
        <v>2</v>
      </c>
      <c r="B4" s="5" t="s">
        <v>134</v>
      </c>
      <c r="C4" s="5" t="s">
        <v>135</v>
      </c>
      <c r="D4" s="5" t="s">
        <v>12</v>
      </c>
      <c r="E4" s="5" t="s">
        <v>133</v>
      </c>
      <c r="F4" s="5">
        <v>35</v>
      </c>
      <c r="G4" s="23">
        <v>125.45</v>
      </c>
      <c r="H4" s="23">
        <f>F4*G4</f>
        <v>4390.75</v>
      </c>
      <c r="I4" s="9">
        <v>0.01</v>
      </c>
      <c r="J4" s="9">
        <v>0.02</v>
      </c>
      <c r="K4" s="9">
        <v>2.5000000000000001E-2</v>
      </c>
      <c r="L4" s="23">
        <f>H4</f>
        <v>4390.75</v>
      </c>
      <c r="M4" s="23">
        <f>ROUND(L4*I4,2)</f>
        <v>43.91</v>
      </c>
      <c r="N4" s="23">
        <f>H4-M4</f>
        <v>4346.84</v>
      </c>
      <c r="O4" s="23">
        <f>ROUND(N4*J4,2)</f>
        <v>86.94</v>
      </c>
      <c r="P4" s="23">
        <f>ROUND(N4-O4,2)</f>
        <v>4259.8999999999996</v>
      </c>
      <c r="Q4" s="23">
        <f>ROUND(P4*K4,2)</f>
        <v>106.5</v>
      </c>
      <c r="R4" s="23">
        <f>ROUND((M4+O4+Q4),2)</f>
        <v>237.35</v>
      </c>
      <c r="S4" s="23">
        <f>ROUND((H4-R4),2)</f>
        <v>4153.3999999999996</v>
      </c>
      <c r="T4" s="9">
        <v>0.18</v>
      </c>
      <c r="U4" s="5">
        <f>ROUND((S4*18%),2)</f>
        <v>747.61</v>
      </c>
      <c r="V4" s="5">
        <f>S4+U4</f>
        <v>4901.01</v>
      </c>
      <c r="W4" s="5">
        <f t="shared" si="0"/>
        <v>250.9</v>
      </c>
    </row>
    <row r="5" spans="1:23">
      <c r="A5" s="5">
        <v>3</v>
      </c>
      <c r="B5" s="5" t="s">
        <v>136</v>
      </c>
      <c r="C5" s="5" t="s">
        <v>137</v>
      </c>
      <c r="D5" s="5" t="s">
        <v>12</v>
      </c>
      <c r="E5" s="5" t="s">
        <v>133</v>
      </c>
      <c r="F5" s="5">
        <v>45</v>
      </c>
      <c r="G5" s="23">
        <v>125.36</v>
      </c>
      <c r="H5" s="23">
        <f>F5*G5</f>
        <v>5641.2</v>
      </c>
      <c r="I5" s="9">
        <v>0.01</v>
      </c>
      <c r="J5" s="9">
        <v>0.02</v>
      </c>
      <c r="K5" s="9">
        <v>2.5000000000000001E-2</v>
      </c>
      <c r="L5" s="23">
        <f>H5</f>
        <v>5641.2</v>
      </c>
      <c r="M5" s="23">
        <f>ROUND(L5*I5,2)</f>
        <v>56.41</v>
      </c>
      <c r="N5" s="23">
        <f>H5-M5</f>
        <v>5584.79</v>
      </c>
      <c r="O5" s="23">
        <f>ROUND(N5*J5,2)</f>
        <v>111.7</v>
      </c>
      <c r="P5" s="23">
        <f>ROUND(N5-O5,2)</f>
        <v>5473.09</v>
      </c>
      <c r="Q5" s="23">
        <f>ROUND(P5*K5,2)</f>
        <v>136.83000000000001</v>
      </c>
      <c r="R5" s="23">
        <f>ROUND((M5+O5+Q5),2)</f>
        <v>304.94</v>
      </c>
      <c r="S5" s="23">
        <f>ROUND((H5-R5),2)</f>
        <v>5336.26</v>
      </c>
      <c r="T5" s="9">
        <v>0.18</v>
      </c>
      <c r="U5" s="5">
        <f>ROUND((S5*18%),2)</f>
        <v>960.53</v>
      </c>
      <c r="V5" s="5">
        <f>S5+U5</f>
        <v>6296.79</v>
      </c>
      <c r="W5" s="5">
        <f t="shared" si="0"/>
        <v>250.72</v>
      </c>
    </row>
    <row r="6" spans="1:23">
      <c r="A6" s="5">
        <v>4</v>
      </c>
      <c r="B6" s="5" t="s">
        <v>138</v>
      </c>
      <c r="C6" s="5" t="s">
        <v>139</v>
      </c>
      <c r="D6" s="5" t="s">
        <v>12</v>
      </c>
      <c r="E6" s="5" t="s">
        <v>133</v>
      </c>
      <c r="F6" s="5">
        <v>55</v>
      </c>
      <c r="G6" s="23">
        <v>45.25</v>
      </c>
      <c r="H6" s="23">
        <f t="shared" ref="H6:H17" si="1">F6*G6</f>
        <v>2488.75</v>
      </c>
      <c r="I6" s="9">
        <v>0.01</v>
      </c>
      <c r="J6" s="9">
        <v>0.02</v>
      </c>
      <c r="K6" s="9">
        <v>2.5000000000000001E-2</v>
      </c>
      <c r="L6" s="23">
        <f t="shared" ref="L6:L17" si="2">H6</f>
        <v>2488.75</v>
      </c>
      <c r="M6" s="23">
        <f t="shared" ref="M6:M17" si="3">ROUND(L6*I6,2)</f>
        <v>24.89</v>
      </c>
      <c r="N6" s="23">
        <f t="shared" ref="N6:N17" si="4">H6-M6</f>
        <v>2463.86</v>
      </c>
      <c r="O6" s="23">
        <f t="shared" ref="O6:O17" si="5">ROUND(N6*J6,2)</f>
        <v>49.28</v>
      </c>
      <c r="P6" s="23">
        <f t="shared" ref="P6:P17" si="6">ROUND(N6-O6,2)</f>
        <v>2414.58</v>
      </c>
      <c r="Q6" s="23">
        <f t="shared" ref="Q6:Q17" si="7">ROUND(P6*K6,2)</f>
        <v>60.36</v>
      </c>
      <c r="R6" s="23">
        <f t="shared" ref="R6:R17" si="8">ROUND((M6+O6+Q6),2)</f>
        <v>134.53</v>
      </c>
      <c r="S6" s="23">
        <f t="shared" ref="S6:S17" si="9">ROUND((H6-R6),2)</f>
        <v>2354.2199999999998</v>
      </c>
      <c r="T6" s="9">
        <v>0.18</v>
      </c>
      <c r="U6" s="5">
        <f t="shared" ref="U6:U17" si="10">ROUND((S6*18%),2)</f>
        <v>423.76</v>
      </c>
      <c r="V6" s="5">
        <f t="shared" ref="V6:V17" si="11">S6+U6</f>
        <v>2777.98</v>
      </c>
      <c r="W6" s="5">
        <f t="shared" si="0"/>
        <v>90.5</v>
      </c>
    </row>
    <row r="7" spans="1:23">
      <c r="A7" s="5">
        <v>5</v>
      </c>
      <c r="B7" s="5" t="s">
        <v>140</v>
      </c>
      <c r="C7" s="5" t="s">
        <v>141</v>
      </c>
      <c r="D7" s="5" t="s">
        <v>12</v>
      </c>
      <c r="E7" s="5" t="s">
        <v>133</v>
      </c>
      <c r="F7" s="5">
        <v>60</v>
      </c>
      <c r="G7" s="23">
        <v>45.5</v>
      </c>
      <c r="H7" s="23">
        <f t="shared" si="1"/>
        <v>2730</v>
      </c>
      <c r="I7" s="9">
        <v>0.01</v>
      </c>
      <c r="J7" s="9">
        <v>0.02</v>
      </c>
      <c r="K7" s="9">
        <v>2.5000000000000001E-2</v>
      </c>
      <c r="L7" s="23">
        <f t="shared" si="2"/>
        <v>2730</v>
      </c>
      <c r="M7" s="23">
        <f t="shared" si="3"/>
        <v>27.3</v>
      </c>
      <c r="N7" s="23">
        <f t="shared" si="4"/>
        <v>2702.7</v>
      </c>
      <c r="O7" s="23">
        <f t="shared" si="5"/>
        <v>54.05</v>
      </c>
      <c r="P7" s="23">
        <f t="shared" si="6"/>
        <v>2648.65</v>
      </c>
      <c r="Q7" s="23">
        <f t="shared" si="7"/>
        <v>66.22</v>
      </c>
      <c r="R7" s="23">
        <f t="shared" si="8"/>
        <v>147.57</v>
      </c>
      <c r="S7" s="23">
        <f t="shared" si="9"/>
        <v>2582.4299999999998</v>
      </c>
      <c r="T7" s="9">
        <v>0.18</v>
      </c>
      <c r="U7" s="5">
        <f t="shared" si="10"/>
        <v>464.84</v>
      </c>
      <c r="V7" s="5">
        <f t="shared" si="11"/>
        <v>3047.27</v>
      </c>
      <c r="W7" s="5">
        <f t="shared" si="0"/>
        <v>91</v>
      </c>
    </row>
    <row r="8" spans="1:23">
      <c r="A8" s="5">
        <v>6</v>
      </c>
      <c r="B8" s="5" t="s">
        <v>142</v>
      </c>
      <c r="C8" s="5" t="s">
        <v>143</v>
      </c>
      <c r="D8" s="5" t="s">
        <v>12</v>
      </c>
      <c r="E8" s="5" t="s">
        <v>133</v>
      </c>
      <c r="F8" s="5">
        <v>75</v>
      </c>
      <c r="G8" s="23">
        <v>125.25</v>
      </c>
      <c r="H8" s="23">
        <f t="shared" si="1"/>
        <v>9393.75</v>
      </c>
      <c r="I8" s="9">
        <v>0.01</v>
      </c>
      <c r="J8" s="9">
        <v>0.02</v>
      </c>
      <c r="K8" s="9">
        <v>2.5000000000000001E-2</v>
      </c>
      <c r="L8" s="23">
        <f t="shared" si="2"/>
        <v>9393.75</v>
      </c>
      <c r="M8" s="23">
        <f t="shared" si="3"/>
        <v>93.94</v>
      </c>
      <c r="N8" s="23">
        <f t="shared" si="4"/>
        <v>9299.81</v>
      </c>
      <c r="O8" s="23">
        <f t="shared" si="5"/>
        <v>186</v>
      </c>
      <c r="P8" s="23">
        <f t="shared" si="6"/>
        <v>9113.81</v>
      </c>
      <c r="Q8" s="23">
        <f t="shared" si="7"/>
        <v>227.85</v>
      </c>
      <c r="R8" s="23">
        <f t="shared" si="8"/>
        <v>507.79</v>
      </c>
      <c r="S8" s="23">
        <f t="shared" si="9"/>
        <v>8885.9599999999991</v>
      </c>
      <c r="T8" s="9">
        <v>0.18</v>
      </c>
      <c r="U8" s="5">
        <f t="shared" si="10"/>
        <v>1599.47</v>
      </c>
      <c r="V8" s="5">
        <f t="shared" si="11"/>
        <v>10485.43</v>
      </c>
      <c r="W8" s="5">
        <f t="shared" si="0"/>
        <v>250.5</v>
      </c>
    </row>
    <row r="9" spans="1:23">
      <c r="A9" s="5">
        <v>7</v>
      </c>
      <c r="B9" s="5" t="s">
        <v>144</v>
      </c>
      <c r="C9" s="5" t="s">
        <v>145</v>
      </c>
      <c r="D9" s="5" t="s">
        <v>12</v>
      </c>
      <c r="E9" s="5" t="s">
        <v>146</v>
      </c>
      <c r="F9" s="5">
        <v>28</v>
      </c>
      <c r="G9" s="23">
        <v>150.5</v>
      </c>
      <c r="H9" s="23">
        <f t="shared" si="1"/>
        <v>4214</v>
      </c>
      <c r="I9" s="9">
        <v>0.01</v>
      </c>
      <c r="J9" s="9">
        <v>0.02</v>
      </c>
      <c r="K9" s="9">
        <v>2.5000000000000001E-2</v>
      </c>
      <c r="L9" s="23">
        <f t="shared" si="2"/>
        <v>4214</v>
      </c>
      <c r="M9" s="23">
        <f t="shared" si="3"/>
        <v>42.14</v>
      </c>
      <c r="N9" s="23">
        <f t="shared" si="4"/>
        <v>4171.8599999999997</v>
      </c>
      <c r="O9" s="23">
        <f t="shared" si="5"/>
        <v>83.44</v>
      </c>
      <c r="P9" s="23">
        <f t="shared" si="6"/>
        <v>4088.42</v>
      </c>
      <c r="Q9" s="23">
        <f t="shared" si="7"/>
        <v>102.21</v>
      </c>
      <c r="R9" s="23">
        <f t="shared" si="8"/>
        <v>227.79</v>
      </c>
      <c r="S9" s="23">
        <f t="shared" si="9"/>
        <v>3986.21</v>
      </c>
      <c r="T9" s="9">
        <v>0.18</v>
      </c>
      <c r="U9" s="5">
        <f t="shared" si="10"/>
        <v>717.52</v>
      </c>
      <c r="V9" s="5">
        <f t="shared" si="11"/>
        <v>4703.7299999999996</v>
      </c>
      <c r="W9" s="5">
        <f>ROUND(G9*$O$22,2)</f>
        <v>376.25</v>
      </c>
    </row>
    <row r="10" spans="1:23">
      <c r="A10" s="5">
        <v>8</v>
      </c>
      <c r="B10" s="5" t="s">
        <v>147</v>
      </c>
      <c r="C10" s="5" t="s">
        <v>148</v>
      </c>
      <c r="D10" s="5" t="s">
        <v>12</v>
      </c>
      <c r="E10" s="5" t="s">
        <v>146</v>
      </c>
      <c r="F10" s="5">
        <v>30</v>
      </c>
      <c r="G10" s="23">
        <v>65.319999999999993</v>
      </c>
      <c r="H10" s="23">
        <f t="shared" si="1"/>
        <v>1959.6</v>
      </c>
      <c r="I10" s="9">
        <v>0.01</v>
      </c>
      <c r="J10" s="9">
        <v>0.02</v>
      </c>
      <c r="K10" s="9">
        <v>2.5000000000000001E-2</v>
      </c>
      <c r="L10" s="23">
        <f t="shared" si="2"/>
        <v>1959.6</v>
      </c>
      <c r="M10" s="23">
        <f t="shared" si="3"/>
        <v>19.600000000000001</v>
      </c>
      <c r="N10" s="23">
        <f t="shared" si="4"/>
        <v>1940</v>
      </c>
      <c r="O10" s="23">
        <f t="shared" si="5"/>
        <v>38.799999999999997</v>
      </c>
      <c r="P10" s="23">
        <f t="shared" si="6"/>
        <v>1901.2</v>
      </c>
      <c r="Q10" s="23">
        <f t="shared" si="7"/>
        <v>47.53</v>
      </c>
      <c r="R10" s="23">
        <f t="shared" si="8"/>
        <v>105.93</v>
      </c>
      <c r="S10" s="23">
        <f t="shared" si="9"/>
        <v>1853.67</v>
      </c>
      <c r="T10" s="9">
        <v>0.18</v>
      </c>
      <c r="U10" s="5">
        <f t="shared" si="10"/>
        <v>333.66</v>
      </c>
      <c r="V10" s="5">
        <f t="shared" si="11"/>
        <v>2187.33</v>
      </c>
      <c r="W10" s="5">
        <f>ROUND(G10*$O$22,2)</f>
        <v>163.30000000000001</v>
      </c>
    </row>
    <row r="11" spans="1:23">
      <c r="A11" s="5">
        <v>9</v>
      </c>
      <c r="B11" s="5" t="s">
        <v>149</v>
      </c>
      <c r="C11" s="5" t="s">
        <v>150</v>
      </c>
      <c r="D11" s="5" t="s">
        <v>12</v>
      </c>
      <c r="E11" s="5" t="s">
        <v>146</v>
      </c>
      <c r="F11" s="5">
        <v>25</v>
      </c>
      <c r="G11" s="23">
        <v>74.89</v>
      </c>
      <c r="H11" s="23">
        <f t="shared" si="1"/>
        <v>1872.25</v>
      </c>
      <c r="I11" s="9">
        <v>0.01</v>
      </c>
      <c r="J11" s="9">
        <v>0.02</v>
      </c>
      <c r="K11" s="9">
        <v>2.5000000000000001E-2</v>
      </c>
      <c r="L11" s="23">
        <f t="shared" si="2"/>
        <v>1872.25</v>
      </c>
      <c r="M11" s="23">
        <f t="shared" si="3"/>
        <v>18.72</v>
      </c>
      <c r="N11" s="23">
        <f t="shared" si="4"/>
        <v>1853.53</v>
      </c>
      <c r="O11" s="23">
        <f t="shared" si="5"/>
        <v>37.07</v>
      </c>
      <c r="P11" s="23">
        <f t="shared" si="6"/>
        <v>1816.46</v>
      </c>
      <c r="Q11" s="23">
        <f t="shared" si="7"/>
        <v>45.41</v>
      </c>
      <c r="R11" s="23">
        <f t="shared" si="8"/>
        <v>101.2</v>
      </c>
      <c r="S11" s="23">
        <f t="shared" si="9"/>
        <v>1771.05</v>
      </c>
      <c r="T11" s="9">
        <v>0.18</v>
      </c>
      <c r="U11" s="5">
        <f t="shared" si="10"/>
        <v>318.79000000000002</v>
      </c>
      <c r="V11" s="5">
        <f t="shared" si="11"/>
        <v>2089.84</v>
      </c>
      <c r="W11" s="5">
        <f>ROUND(G11*$O$22,2)</f>
        <v>187.23</v>
      </c>
    </row>
    <row r="12" spans="1:23">
      <c r="A12" s="5">
        <v>10</v>
      </c>
      <c r="B12" s="5" t="s">
        <v>151</v>
      </c>
      <c r="C12" s="5" t="s">
        <v>152</v>
      </c>
      <c r="D12" s="5" t="s">
        <v>12</v>
      </c>
      <c r="E12" s="5" t="s">
        <v>146</v>
      </c>
      <c r="F12" s="5">
        <v>28</v>
      </c>
      <c r="G12" s="23">
        <v>89.56</v>
      </c>
      <c r="H12" s="23">
        <f t="shared" si="1"/>
        <v>2507.6799999999998</v>
      </c>
      <c r="I12" s="9">
        <v>0.01</v>
      </c>
      <c r="J12" s="9">
        <v>0.02</v>
      </c>
      <c r="K12" s="9">
        <v>2.5000000000000001E-2</v>
      </c>
      <c r="L12" s="23">
        <f t="shared" si="2"/>
        <v>2507.6799999999998</v>
      </c>
      <c r="M12" s="23">
        <f t="shared" si="3"/>
        <v>25.08</v>
      </c>
      <c r="N12" s="23">
        <f t="shared" si="4"/>
        <v>2482.6</v>
      </c>
      <c r="O12" s="23">
        <f t="shared" si="5"/>
        <v>49.65</v>
      </c>
      <c r="P12" s="23">
        <f t="shared" si="6"/>
        <v>2432.9499999999998</v>
      </c>
      <c r="Q12" s="23">
        <f t="shared" si="7"/>
        <v>60.82</v>
      </c>
      <c r="R12" s="23">
        <f t="shared" si="8"/>
        <v>135.55000000000001</v>
      </c>
      <c r="S12" s="23">
        <f t="shared" si="9"/>
        <v>2372.13</v>
      </c>
      <c r="T12" s="9">
        <v>0.18</v>
      </c>
      <c r="U12" s="5">
        <f t="shared" si="10"/>
        <v>426.98</v>
      </c>
      <c r="V12" s="5">
        <f t="shared" si="11"/>
        <v>2799.11</v>
      </c>
      <c r="W12" s="5">
        <f>ROUND(G12*$O$22,2)</f>
        <v>223.9</v>
      </c>
    </row>
    <row r="13" spans="1:23">
      <c r="A13" s="5">
        <v>11</v>
      </c>
      <c r="B13" s="5" t="s">
        <v>153</v>
      </c>
      <c r="C13" s="5" t="s">
        <v>154</v>
      </c>
      <c r="D13" s="5" t="s">
        <v>133</v>
      </c>
      <c r="E13" s="5" t="s">
        <v>155</v>
      </c>
      <c r="F13" s="5">
        <v>37</v>
      </c>
      <c r="G13" s="23">
        <v>89.54</v>
      </c>
      <c r="H13" s="23">
        <f t="shared" si="1"/>
        <v>3312.98</v>
      </c>
      <c r="I13" s="9">
        <v>0.01</v>
      </c>
      <c r="J13" s="9">
        <v>0.02</v>
      </c>
      <c r="K13" s="9">
        <v>2.5000000000000001E-2</v>
      </c>
      <c r="L13" s="23">
        <f t="shared" si="2"/>
        <v>3312.98</v>
      </c>
      <c r="M13" s="23">
        <f t="shared" si="3"/>
        <v>33.130000000000003</v>
      </c>
      <c r="N13" s="23">
        <f t="shared" si="4"/>
        <v>3279.85</v>
      </c>
      <c r="O13" s="23">
        <f t="shared" si="5"/>
        <v>65.599999999999994</v>
      </c>
      <c r="P13" s="23">
        <f t="shared" si="6"/>
        <v>3214.25</v>
      </c>
      <c r="Q13" s="23">
        <f t="shared" si="7"/>
        <v>80.36</v>
      </c>
      <c r="R13" s="23">
        <f t="shared" si="8"/>
        <v>179.09</v>
      </c>
      <c r="S13" s="23">
        <f t="shared" si="9"/>
        <v>3133.89</v>
      </c>
      <c r="T13" s="9">
        <v>0.18</v>
      </c>
      <c r="U13" s="5">
        <f t="shared" si="10"/>
        <v>564.1</v>
      </c>
      <c r="V13" s="5">
        <f t="shared" si="11"/>
        <v>3697.99</v>
      </c>
      <c r="W13" s="5">
        <f>ROUND(G13*$O$23,2)</f>
        <v>0.09</v>
      </c>
    </row>
    <row r="14" spans="1:23">
      <c r="A14" s="5">
        <v>12</v>
      </c>
      <c r="B14" s="5" t="s">
        <v>156</v>
      </c>
      <c r="C14" s="5" t="s">
        <v>157</v>
      </c>
      <c r="D14" s="5" t="s">
        <v>133</v>
      </c>
      <c r="E14" s="5" t="s">
        <v>155</v>
      </c>
      <c r="F14" s="5">
        <v>39</v>
      </c>
      <c r="G14" s="23">
        <v>35.200000000000003</v>
      </c>
      <c r="H14" s="23">
        <f t="shared" si="1"/>
        <v>1372.8</v>
      </c>
      <c r="I14" s="9">
        <v>0.01</v>
      </c>
      <c r="J14" s="9">
        <v>0.02</v>
      </c>
      <c r="K14" s="9">
        <v>2.5000000000000001E-2</v>
      </c>
      <c r="L14" s="23">
        <f t="shared" si="2"/>
        <v>1372.8</v>
      </c>
      <c r="M14" s="23">
        <f t="shared" si="3"/>
        <v>13.73</v>
      </c>
      <c r="N14" s="23">
        <f t="shared" si="4"/>
        <v>1359.07</v>
      </c>
      <c r="O14" s="23">
        <f t="shared" si="5"/>
        <v>27.18</v>
      </c>
      <c r="P14" s="23">
        <f t="shared" si="6"/>
        <v>1331.89</v>
      </c>
      <c r="Q14" s="23">
        <f t="shared" si="7"/>
        <v>33.299999999999997</v>
      </c>
      <c r="R14" s="23">
        <f t="shared" si="8"/>
        <v>74.209999999999994</v>
      </c>
      <c r="S14" s="23">
        <f t="shared" si="9"/>
        <v>1298.5899999999999</v>
      </c>
      <c r="T14" s="9">
        <v>0.18</v>
      </c>
      <c r="U14" s="5">
        <f t="shared" si="10"/>
        <v>233.75</v>
      </c>
      <c r="V14" s="5">
        <f t="shared" si="11"/>
        <v>1532.34</v>
      </c>
      <c r="W14" s="5">
        <f>ROUND(G14*$O$23,2)</f>
        <v>0.04</v>
      </c>
    </row>
    <row r="15" spans="1:23">
      <c r="A15" s="5">
        <v>13</v>
      </c>
      <c r="B15" s="5" t="s">
        <v>158</v>
      </c>
      <c r="C15" s="5" t="s">
        <v>159</v>
      </c>
      <c r="D15" s="5" t="s">
        <v>133</v>
      </c>
      <c r="E15" s="5" t="s">
        <v>155</v>
      </c>
      <c r="F15" s="5">
        <v>70</v>
      </c>
      <c r="G15" s="23">
        <v>102.25</v>
      </c>
      <c r="H15" s="23">
        <f t="shared" si="1"/>
        <v>7157.5</v>
      </c>
      <c r="I15" s="9">
        <v>0.01</v>
      </c>
      <c r="J15" s="9">
        <v>0.02</v>
      </c>
      <c r="K15" s="9">
        <v>2.5000000000000001E-2</v>
      </c>
      <c r="L15" s="23">
        <f t="shared" si="2"/>
        <v>7157.5</v>
      </c>
      <c r="M15" s="23">
        <f t="shared" si="3"/>
        <v>71.58</v>
      </c>
      <c r="N15" s="23">
        <f t="shared" si="4"/>
        <v>7085.92</v>
      </c>
      <c r="O15" s="23">
        <f t="shared" si="5"/>
        <v>141.72</v>
      </c>
      <c r="P15" s="23">
        <f t="shared" si="6"/>
        <v>6944.2</v>
      </c>
      <c r="Q15" s="23">
        <f t="shared" si="7"/>
        <v>173.61</v>
      </c>
      <c r="R15" s="23">
        <f t="shared" si="8"/>
        <v>386.91</v>
      </c>
      <c r="S15" s="23">
        <f t="shared" si="9"/>
        <v>6770.59</v>
      </c>
      <c r="T15" s="9">
        <v>0.18</v>
      </c>
      <c r="U15" s="5">
        <f t="shared" si="10"/>
        <v>1218.71</v>
      </c>
      <c r="V15" s="5">
        <f t="shared" si="11"/>
        <v>7989.3</v>
      </c>
      <c r="W15" s="5">
        <f>ROUND(G15*$O$23,2)</f>
        <v>0.1</v>
      </c>
    </row>
    <row r="16" spans="1:23">
      <c r="A16" s="5">
        <v>14</v>
      </c>
      <c r="B16" s="5" t="s">
        <v>160</v>
      </c>
      <c r="C16" s="5" t="s">
        <v>161</v>
      </c>
      <c r="D16" s="5" t="s">
        <v>133</v>
      </c>
      <c r="E16" s="5" t="s">
        <v>155</v>
      </c>
      <c r="F16" s="5">
        <v>100</v>
      </c>
      <c r="G16" s="23">
        <v>125.23</v>
      </c>
      <c r="H16" s="23">
        <f t="shared" si="1"/>
        <v>12523</v>
      </c>
      <c r="I16" s="9">
        <v>0.01</v>
      </c>
      <c r="J16" s="9">
        <v>0.02</v>
      </c>
      <c r="K16" s="9">
        <v>2.5000000000000001E-2</v>
      </c>
      <c r="L16" s="23">
        <f t="shared" si="2"/>
        <v>12523</v>
      </c>
      <c r="M16" s="23">
        <f t="shared" si="3"/>
        <v>125.23</v>
      </c>
      <c r="N16" s="23">
        <f t="shared" si="4"/>
        <v>12397.77</v>
      </c>
      <c r="O16" s="23">
        <f t="shared" si="5"/>
        <v>247.96</v>
      </c>
      <c r="P16" s="23">
        <f t="shared" si="6"/>
        <v>12149.81</v>
      </c>
      <c r="Q16" s="23">
        <f t="shared" si="7"/>
        <v>303.75</v>
      </c>
      <c r="R16" s="23">
        <f t="shared" si="8"/>
        <v>676.94</v>
      </c>
      <c r="S16" s="23">
        <f t="shared" si="9"/>
        <v>11846.06</v>
      </c>
      <c r="T16" s="9">
        <v>0.18</v>
      </c>
      <c r="U16" s="5">
        <f t="shared" si="10"/>
        <v>2132.29</v>
      </c>
      <c r="V16" s="5">
        <f t="shared" si="11"/>
        <v>13978.35</v>
      </c>
      <c r="W16" s="5">
        <f>ROUND(G16*$O$23,2)</f>
        <v>0.13</v>
      </c>
    </row>
    <row r="17" spans="1:23">
      <c r="A17" s="5">
        <v>15</v>
      </c>
      <c r="B17" s="5" t="s">
        <v>162</v>
      </c>
      <c r="C17" s="5" t="s">
        <v>163</v>
      </c>
      <c r="D17" s="5" t="s">
        <v>133</v>
      </c>
      <c r="E17" s="5" t="s">
        <v>155</v>
      </c>
      <c r="F17" s="5">
        <v>85</v>
      </c>
      <c r="G17" s="23">
        <v>65.48</v>
      </c>
      <c r="H17" s="23">
        <f t="shared" si="1"/>
        <v>5565.8</v>
      </c>
      <c r="I17" s="9">
        <v>0.01</v>
      </c>
      <c r="J17" s="9">
        <v>0.02</v>
      </c>
      <c r="K17" s="9">
        <v>2.5000000000000001E-2</v>
      </c>
      <c r="L17" s="23">
        <f t="shared" si="2"/>
        <v>5565.8</v>
      </c>
      <c r="M17" s="23">
        <f t="shared" si="3"/>
        <v>55.66</v>
      </c>
      <c r="N17" s="23">
        <f t="shared" si="4"/>
        <v>5510.14</v>
      </c>
      <c r="O17" s="23">
        <f t="shared" si="5"/>
        <v>110.2</v>
      </c>
      <c r="P17" s="23">
        <f t="shared" si="6"/>
        <v>5399.94</v>
      </c>
      <c r="Q17" s="23">
        <f t="shared" si="7"/>
        <v>135</v>
      </c>
      <c r="R17" s="23">
        <f t="shared" si="8"/>
        <v>300.86</v>
      </c>
      <c r="S17" s="23">
        <f t="shared" si="9"/>
        <v>5264.94</v>
      </c>
      <c r="T17" s="9">
        <v>0.18</v>
      </c>
      <c r="U17" s="5">
        <f t="shared" si="10"/>
        <v>947.69</v>
      </c>
      <c r="V17" s="5">
        <f t="shared" si="11"/>
        <v>6212.63</v>
      </c>
      <c r="W17" s="5">
        <f>ROUND(G17*$O$23,2)</f>
        <v>7.0000000000000007E-2</v>
      </c>
    </row>
    <row r="18" spans="1:23">
      <c r="B18" s="81" t="s">
        <v>14</v>
      </c>
      <c r="C18" s="81"/>
      <c r="D18" s="81"/>
      <c r="E18" s="81"/>
      <c r="F18" s="81"/>
      <c r="G18" s="81"/>
      <c r="H18" s="7">
        <f>SUM(H3:H17)</f>
        <v>71570.81</v>
      </c>
      <c r="I18" s="5"/>
      <c r="J18" s="5"/>
      <c r="K18" s="5"/>
      <c r="L18" s="5"/>
      <c r="M18" s="5"/>
      <c r="N18" s="5"/>
      <c r="O18" s="5"/>
      <c r="P18" s="5"/>
      <c r="Q18" s="5"/>
      <c r="R18" s="7">
        <f>SUM(R3:R17)</f>
        <v>3868.82</v>
      </c>
      <c r="S18" s="7">
        <f>SUM(S3:S17)</f>
        <v>67701.990000000005</v>
      </c>
      <c r="T18" s="7"/>
      <c r="U18" s="7">
        <f>SUM(U3:U17)</f>
        <v>12186.37</v>
      </c>
      <c r="V18" s="18">
        <f t="shared" ref="V18" si="12">SUM(V3:V17)</f>
        <v>79888.36</v>
      </c>
      <c r="W18" s="18"/>
    </row>
    <row r="20" spans="1:23">
      <c r="G20" s="88" t="s">
        <v>164</v>
      </c>
      <c r="H20" s="89"/>
      <c r="I20" s="90">
        <f>H18</f>
        <v>71570.81</v>
      </c>
      <c r="J20" s="90"/>
      <c r="K20" s="10"/>
      <c r="M20" s="91" t="s">
        <v>165</v>
      </c>
      <c r="N20" s="92"/>
      <c r="O20" s="92"/>
      <c r="P20" s="93"/>
    </row>
    <row r="21" spans="1:23">
      <c r="G21" s="88" t="s">
        <v>166</v>
      </c>
      <c r="H21" s="89"/>
      <c r="I21" s="90">
        <f>R18</f>
        <v>3868.82</v>
      </c>
      <c r="J21" s="90"/>
      <c r="M21" s="19">
        <v>1</v>
      </c>
      <c r="N21" s="19" t="s">
        <v>12</v>
      </c>
      <c r="O21" s="19">
        <v>2</v>
      </c>
      <c r="P21" s="19" t="s">
        <v>133</v>
      </c>
    </row>
    <row r="22" spans="1:23">
      <c r="G22" s="88" t="s">
        <v>167</v>
      </c>
      <c r="H22" s="89"/>
      <c r="I22" s="90">
        <f>S18</f>
        <v>67701.990000000005</v>
      </c>
      <c r="J22" s="90"/>
      <c r="M22" s="5">
        <v>1</v>
      </c>
      <c r="N22" s="5" t="s">
        <v>12</v>
      </c>
      <c r="O22" s="5">
        <v>2.5</v>
      </c>
      <c r="P22" s="5" t="s">
        <v>146</v>
      </c>
    </row>
    <row r="23" spans="1:23">
      <c r="G23" s="88" t="s">
        <v>168</v>
      </c>
      <c r="H23" s="89"/>
      <c r="I23" s="90">
        <f>U18</f>
        <v>12186.37</v>
      </c>
      <c r="J23" s="90"/>
      <c r="M23" s="5">
        <v>1</v>
      </c>
      <c r="N23" s="5" t="s">
        <v>133</v>
      </c>
      <c r="O23" s="5">
        <v>1E-3</v>
      </c>
      <c r="P23" s="5" t="s">
        <v>155</v>
      </c>
    </row>
    <row r="24" spans="1:23">
      <c r="G24" s="88" t="s">
        <v>169</v>
      </c>
      <c r="H24" s="89"/>
      <c r="I24" s="94">
        <f>I22+I23</f>
        <v>79888.36</v>
      </c>
      <c r="J24" s="94"/>
    </row>
  </sheetData>
  <mergeCells count="13">
    <mergeCell ref="G24:H24"/>
    <mergeCell ref="I24:J24"/>
    <mergeCell ref="G21:H21"/>
    <mergeCell ref="I21:J21"/>
    <mergeCell ref="G22:H22"/>
    <mergeCell ref="I22:J22"/>
    <mergeCell ref="G23:H23"/>
    <mergeCell ref="I23:J23"/>
    <mergeCell ref="A1:V1"/>
    <mergeCell ref="B18:G18"/>
    <mergeCell ref="G20:H20"/>
    <mergeCell ref="I20:J20"/>
    <mergeCell ref="M20:P2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W25"/>
  <sheetViews>
    <sheetView showGridLines="0" zoomScale="90" zoomScaleNormal="90" workbookViewId="0">
      <selection activeCell="O8" sqref="O8"/>
    </sheetView>
  </sheetViews>
  <sheetFormatPr defaultColWidth="9.140625" defaultRowHeight="14.25"/>
  <cols>
    <col min="1" max="1" width="4.42578125" style="2" customWidth="1"/>
    <col min="2" max="2" width="8.5703125" style="2" customWidth="1"/>
    <col min="3" max="3" width="10" style="2" customWidth="1"/>
    <col min="4" max="4" width="10.42578125" style="2" customWidth="1"/>
    <col min="5" max="5" width="4.5703125" style="2" customWidth="1"/>
    <col min="6" max="6" width="10.140625" style="2" customWidth="1"/>
    <col min="7" max="7" width="11.85546875" style="2" customWidth="1"/>
    <col min="8" max="8" width="6.42578125" style="2" customWidth="1"/>
    <col min="9" max="9" width="6.28515625" style="2" customWidth="1"/>
    <col min="10" max="10" width="6.85546875" style="2" customWidth="1"/>
    <col min="11" max="11" width="13.85546875" style="2" customWidth="1"/>
    <col min="12" max="12" width="9.140625" style="2" customWidth="1"/>
    <col min="13" max="13" width="13.7109375" style="2" customWidth="1"/>
    <col min="14" max="14" width="9" style="2" customWidth="1"/>
    <col min="15" max="15" width="13.85546875" style="2" customWidth="1"/>
    <col min="16" max="16" width="8.85546875" style="2" customWidth="1"/>
    <col min="17" max="17" width="14.42578125" style="2" customWidth="1"/>
    <col min="18" max="18" width="11.42578125" style="2" customWidth="1"/>
    <col min="19" max="19" width="7.140625" style="2" customWidth="1"/>
    <col min="20" max="21" width="11.5703125" style="2" customWidth="1"/>
    <col min="22" max="22" width="15.5703125" style="2" customWidth="1"/>
    <col min="23" max="23" width="17.5703125" style="2" customWidth="1"/>
    <col min="24" max="16384" width="9.140625" style="2"/>
  </cols>
  <sheetData>
    <row r="1" spans="1:23" ht="21" customHeight="1">
      <c r="A1" s="87" t="s">
        <v>170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1" t="s">
        <v>171</v>
      </c>
      <c r="R1" s="11" t="s">
        <v>172</v>
      </c>
      <c r="S1" s="12"/>
      <c r="T1" s="11">
        <v>82.92</v>
      </c>
      <c r="U1" s="13"/>
      <c r="V1" s="14"/>
    </row>
    <row r="2" spans="1:23" s="1" customFormat="1" ht="28.5" customHeight="1">
      <c r="A2" s="3" t="s">
        <v>125</v>
      </c>
      <c r="B2" s="3" t="s">
        <v>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24</v>
      </c>
      <c r="I2" s="4" t="s">
        <v>26</v>
      </c>
      <c r="J2" s="4" t="s">
        <v>25</v>
      </c>
      <c r="K2" s="8" t="s">
        <v>27</v>
      </c>
      <c r="L2" s="8" t="s">
        <v>28</v>
      </c>
      <c r="M2" s="8" t="s">
        <v>31</v>
      </c>
      <c r="N2" s="8" t="s">
        <v>32</v>
      </c>
      <c r="O2" s="8" t="s">
        <v>29</v>
      </c>
      <c r="P2" s="8" t="s">
        <v>30</v>
      </c>
      <c r="Q2" s="4" t="s">
        <v>173</v>
      </c>
      <c r="R2" s="3" t="s">
        <v>174</v>
      </c>
      <c r="S2" s="15" t="s">
        <v>129</v>
      </c>
      <c r="T2" s="15" t="s">
        <v>40</v>
      </c>
      <c r="U2" s="22" t="s">
        <v>41</v>
      </c>
      <c r="V2" s="22" t="s">
        <v>175</v>
      </c>
      <c r="W2" s="17" t="s">
        <v>56</v>
      </c>
    </row>
    <row r="3" spans="1:23">
      <c r="A3" s="5">
        <v>1</v>
      </c>
      <c r="B3" s="5" t="s">
        <v>67</v>
      </c>
      <c r="C3" s="5" t="s">
        <v>12</v>
      </c>
      <c r="D3" s="5" t="s">
        <v>12</v>
      </c>
      <c r="E3" s="5">
        <v>25</v>
      </c>
      <c r="F3" s="5">
        <v>257.63</v>
      </c>
      <c r="G3" s="5">
        <f>E3*F3</f>
        <v>6440.75</v>
      </c>
      <c r="H3" s="6">
        <v>0.01</v>
      </c>
      <c r="I3" s="6">
        <v>0.02</v>
      </c>
      <c r="J3" s="21">
        <v>2.5000000000000001E-2</v>
      </c>
      <c r="K3" s="5">
        <f>G3</f>
        <v>6440.75</v>
      </c>
      <c r="L3" s="5">
        <f>ROUND(K3*H3,2)</f>
        <v>64.41</v>
      </c>
      <c r="M3" s="5">
        <f>G3-L3</f>
        <v>6376.34</v>
      </c>
      <c r="N3" s="5">
        <f>ROUND(M3*I3,2)</f>
        <v>127.53</v>
      </c>
      <c r="O3" s="5">
        <f>ROUND(M3-N3,2)</f>
        <v>6248.81</v>
      </c>
      <c r="P3" s="5">
        <f>ROUND(O3*J3,2)</f>
        <v>156.22</v>
      </c>
      <c r="Q3" s="5">
        <f>ROUND((L3+N3+P3),2)</f>
        <v>348.16</v>
      </c>
      <c r="R3" s="5">
        <f>ROUND((G3-Q3),2)</f>
        <v>6092.59</v>
      </c>
      <c r="S3" s="6">
        <v>0.18</v>
      </c>
      <c r="T3" s="5">
        <f>ROUND((R3*18%),2)</f>
        <v>1096.67</v>
      </c>
      <c r="U3" s="5">
        <f>R3+T3</f>
        <v>7189.26</v>
      </c>
      <c r="V3" s="5">
        <f>U3*$T$1</f>
        <v>596133.43920000002</v>
      </c>
      <c r="W3" s="5">
        <f>F3*$T$1</f>
        <v>21362.679599999999</v>
      </c>
    </row>
    <row r="4" spans="1:23">
      <c r="A4" s="5">
        <v>2</v>
      </c>
      <c r="B4" s="5" t="s">
        <v>69</v>
      </c>
      <c r="C4" s="5" t="s">
        <v>12</v>
      </c>
      <c r="D4" s="5" t="s">
        <v>12</v>
      </c>
      <c r="E4" s="5">
        <v>35</v>
      </c>
      <c r="F4" s="5">
        <v>125.45</v>
      </c>
      <c r="G4" s="5">
        <f>E4*F4</f>
        <v>4390.75</v>
      </c>
      <c r="H4" s="6">
        <v>0.01</v>
      </c>
      <c r="I4" s="6">
        <v>0.02</v>
      </c>
      <c r="J4" s="21">
        <v>2.5000000000000001E-2</v>
      </c>
      <c r="K4" s="5">
        <f>G4</f>
        <v>4390.75</v>
      </c>
      <c r="L4" s="5">
        <f>ROUND(K4*H4,2)</f>
        <v>43.91</v>
      </c>
      <c r="M4" s="5">
        <f>G4-L4</f>
        <v>4346.84</v>
      </c>
      <c r="N4" s="5">
        <f>ROUND(M4*I4,2)</f>
        <v>86.94</v>
      </c>
      <c r="O4" s="5">
        <f>ROUND(M4-N4,2)</f>
        <v>4259.8999999999996</v>
      </c>
      <c r="P4" s="5">
        <f>ROUND(O4*J4,2)</f>
        <v>106.5</v>
      </c>
      <c r="Q4" s="5">
        <f>ROUND((L4+N4+P4),2)</f>
        <v>237.35</v>
      </c>
      <c r="R4" s="5">
        <f>ROUND((G4-Q4),2)</f>
        <v>4153.3999999999996</v>
      </c>
      <c r="S4" s="6">
        <v>0.18</v>
      </c>
      <c r="T4" s="5">
        <f>ROUND((R4*18%),2)</f>
        <v>747.61</v>
      </c>
      <c r="U4" s="5">
        <f>R4+T4</f>
        <v>4901.01</v>
      </c>
      <c r="V4" s="5">
        <f t="shared" ref="V4:V17" si="0">U4*$T$1</f>
        <v>406391.74920000002</v>
      </c>
      <c r="W4" s="5">
        <f t="shared" ref="W4:W17" si="1">F4*$T$1</f>
        <v>10402.314</v>
      </c>
    </row>
    <row r="5" spans="1:23">
      <c r="A5" s="5">
        <v>3</v>
      </c>
      <c r="B5" s="5" t="s">
        <v>71</v>
      </c>
      <c r="C5" s="5" t="s">
        <v>12</v>
      </c>
      <c r="D5" s="5" t="s">
        <v>12</v>
      </c>
      <c r="E5" s="5">
        <v>45</v>
      </c>
      <c r="F5" s="5">
        <v>125.36</v>
      </c>
      <c r="G5" s="5">
        <f>E5*F5</f>
        <v>5641.2</v>
      </c>
      <c r="H5" s="6">
        <v>0.01</v>
      </c>
      <c r="I5" s="6">
        <v>0.02</v>
      </c>
      <c r="J5" s="21">
        <v>2.5000000000000001E-2</v>
      </c>
      <c r="K5" s="5">
        <f>G5</f>
        <v>5641.2</v>
      </c>
      <c r="L5" s="5">
        <f>ROUND(K5*H5,2)</f>
        <v>56.41</v>
      </c>
      <c r="M5" s="5">
        <f>G5-L5</f>
        <v>5584.79</v>
      </c>
      <c r="N5" s="5">
        <f>ROUND(M5*I5,2)</f>
        <v>111.7</v>
      </c>
      <c r="O5" s="5">
        <f>ROUND(M5-N5,2)</f>
        <v>5473.09</v>
      </c>
      <c r="P5" s="5">
        <f>ROUND(O5*J5,2)</f>
        <v>136.83000000000001</v>
      </c>
      <c r="Q5" s="5">
        <f>ROUND((L5+N5+P5),2)</f>
        <v>304.94</v>
      </c>
      <c r="R5" s="5">
        <f>ROUND((G5-Q5),2)</f>
        <v>5336.26</v>
      </c>
      <c r="S5" s="6">
        <v>0.18</v>
      </c>
      <c r="T5" s="5">
        <f>ROUND((R5*18%),2)</f>
        <v>960.53</v>
      </c>
      <c r="U5" s="5">
        <f>R5+T5</f>
        <v>6296.79</v>
      </c>
      <c r="V5" s="5">
        <f t="shared" si="0"/>
        <v>522129.82679999998</v>
      </c>
      <c r="W5" s="5">
        <f t="shared" si="1"/>
        <v>10394.851199999999</v>
      </c>
    </row>
    <row r="6" spans="1:23">
      <c r="A6" s="5">
        <v>4</v>
      </c>
      <c r="B6" s="5" t="s">
        <v>73</v>
      </c>
      <c r="C6" s="5" t="s">
        <v>12</v>
      </c>
      <c r="D6" s="5" t="s">
        <v>12</v>
      </c>
      <c r="E6" s="5">
        <v>55</v>
      </c>
      <c r="F6" s="5">
        <v>45.25</v>
      </c>
      <c r="G6" s="5">
        <f t="shared" ref="G6:G17" si="2">E6*F6</f>
        <v>2488.75</v>
      </c>
      <c r="H6" s="6">
        <v>0.01</v>
      </c>
      <c r="I6" s="6">
        <v>0.02</v>
      </c>
      <c r="J6" s="21">
        <v>2.5000000000000001E-2</v>
      </c>
      <c r="K6" s="5">
        <f t="shared" ref="K6:K17" si="3">G6</f>
        <v>2488.75</v>
      </c>
      <c r="L6" s="5">
        <f t="shared" ref="L6:L17" si="4">ROUND(K6*H6,2)</f>
        <v>24.89</v>
      </c>
      <c r="M6" s="5">
        <f t="shared" ref="M6:M17" si="5">G6-L6</f>
        <v>2463.86</v>
      </c>
      <c r="N6" s="5">
        <f t="shared" ref="N6:N17" si="6">ROUND(M6*I6,2)</f>
        <v>49.28</v>
      </c>
      <c r="O6" s="5">
        <f t="shared" ref="O6:O17" si="7">ROUND(M6-N6,2)</f>
        <v>2414.58</v>
      </c>
      <c r="P6" s="5">
        <f t="shared" ref="P6:P17" si="8">ROUND(O6*J6,2)</f>
        <v>60.36</v>
      </c>
      <c r="Q6" s="5">
        <f t="shared" ref="Q6:Q17" si="9">ROUND((L6+N6+P6),2)</f>
        <v>134.53</v>
      </c>
      <c r="R6" s="5">
        <f t="shared" ref="R6:R17" si="10">ROUND((G6-Q6),2)</f>
        <v>2354.2199999999998</v>
      </c>
      <c r="S6" s="6">
        <v>0.18</v>
      </c>
      <c r="T6" s="5">
        <f t="shared" ref="T6:T17" si="11">ROUND((R6*18%),2)</f>
        <v>423.76</v>
      </c>
      <c r="U6" s="5">
        <f t="shared" ref="U6:U17" si="12">R6+T6</f>
        <v>2777.98</v>
      </c>
      <c r="V6" s="5">
        <f t="shared" si="0"/>
        <v>230350.10159999999</v>
      </c>
      <c r="W6" s="5">
        <f t="shared" si="1"/>
        <v>3752.13</v>
      </c>
    </row>
    <row r="7" spans="1:23">
      <c r="A7" s="5">
        <v>5</v>
      </c>
      <c r="B7" s="5" t="s">
        <v>75</v>
      </c>
      <c r="C7" s="5" t="s">
        <v>12</v>
      </c>
      <c r="D7" s="5" t="s">
        <v>12</v>
      </c>
      <c r="E7" s="5">
        <v>60</v>
      </c>
      <c r="F7" s="5">
        <v>45.5</v>
      </c>
      <c r="G7" s="5">
        <f t="shared" si="2"/>
        <v>2730</v>
      </c>
      <c r="H7" s="6">
        <v>0.01</v>
      </c>
      <c r="I7" s="6">
        <v>0.02</v>
      </c>
      <c r="J7" s="21">
        <v>2.5000000000000001E-2</v>
      </c>
      <c r="K7" s="5">
        <f t="shared" si="3"/>
        <v>2730</v>
      </c>
      <c r="L7" s="5">
        <f t="shared" si="4"/>
        <v>27.3</v>
      </c>
      <c r="M7" s="5">
        <f t="shared" si="5"/>
        <v>2702.7</v>
      </c>
      <c r="N7" s="5">
        <f t="shared" si="6"/>
        <v>54.05</v>
      </c>
      <c r="O7" s="5">
        <f t="shared" si="7"/>
        <v>2648.65</v>
      </c>
      <c r="P7" s="5">
        <f t="shared" si="8"/>
        <v>66.22</v>
      </c>
      <c r="Q7" s="5">
        <f t="shared" si="9"/>
        <v>147.57</v>
      </c>
      <c r="R7" s="5">
        <f t="shared" si="10"/>
        <v>2582.4299999999998</v>
      </c>
      <c r="S7" s="6">
        <v>0.18</v>
      </c>
      <c r="T7" s="5">
        <f t="shared" si="11"/>
        <v>464.84</v>
      </c>
      <c r="U7" s="5">
        <f t="shared" si="12"/>
        <v>3047.27</v>
      </c>
      <c r="V7" s="5">
        <f t="shared" si="0"/>
        <v>252679.62839999999</v>
      </c>
      <c r="W7" s="5">
        <f t="shared" si="1"/>
        <v>3772.86</v>
      </c>
    </row>
    <row r="8" spans="1:23">
      <c r="A8" s="5">
        <v>6</v>
      </c>
      <c r="B8" s="5" t="s">
        <v>77</v>
      </c>
      <c r="C8" s="5" t="s">
        <v>12</v>
      </c>
      <c r="D8" s="5" t="s">
        <v>12</v>
      </c>
      <c r="E8" s="5">
        <v>75</v>
      </c>
      <c r="F8" s="5">
        <v>125.25</v>
      </c>
      <c r="G8" s="5">
        <f t="shared" si="2"/>
        <v>9393.75</v>
      </c>
      <c r="H8" s="6">
        <v>0.01</v>
      </c>
      <c r="I8" s="6">
        <v>0.02</v>
      </c>
      <c r="J8" s="21">
        <v>2.5000000000000001E-2</v>
      </c>
      <c r="K8" s="5">
        <f t="shared" si="3"/>
        <v>9393.75</v>
      </c>
      <c r="L8" s="5">
        <f t="shared" si="4"/>
        <v>93.94</v>
      </c>
      <c r="M8" s="5">
        <f t="shared" si="5"/>
        <v>9299.81</v>
      </c>
      <c r="N8" s="5">
        <f t="shared" si="6"/>
        <v>186</v>
      </c>
      <c r="O8" s="5">
        <f t="shared" si="7"/>
        <v>9113.81</v>
      </c>
      <c r="P8" s="5">
        <f t="shared" si="8"/>
        <v>227.85</v>
      </c>
      <c r="Q8" s="5">
        <f t="shared" si="9"/>
        <v>507.79</v>
      </c>
      <c r="R8" s="5">
        <f t="shared" si="10"/>
        <v>8885.9599999999991</v>
      </c>
      <c r="S8" s="6">
        <v>0.18</v>
      </c>
      <c r="T8" s="5">
        <f t="shared" si="11"/>
        <v>1599.47</v>
      </c>
      <c r="U8" s="5">
        <f t="shared" si="12"/>
        <v>10485.43</v>
      </c>
      <c r="V8" s="5">
        <f t="shared" si="0"/>
        <v>869451.85560000001</v>
      </c>
      <c r="W8" s="5">
        <f t="shared" si="1"/>
        <v>10385.73</v>
      </c>
    </row>
    <row r="9" spans="1:23">
      <c r="A9" s="5">
        <v>7</v>
      </c>
      <c r="B9" s="5" t="s">
        <v>79</v>
      </c>
      <c r="C9" s="5" t="s">
        <v>12</v>
      </c>
      <c r="D9" s="5" t="s">
        <v>12</v>
      </c>
      <c r="E9" s="5">
        <v>28</v>
      </c>
      <c r="F9" s="5">
        <v>150.5</v>
      </c>
      <c r="G9" s="5">
        <f t="shared" si="2"/>
        <v>4214</v>
      </c>
      <c r="H9" s="6">
        <v>0.01</v>
      </c>
      <c r="I9" s="6">
        <v>0.02</v>
      </c>
      <c r="J9" s="21">
        <v>2.5000000000000001E-2</v>
      </c>
      <c r="K9" s="5">
        <f t="shared" si="3"/>
        <v>4214</v>
      </c>
      <c r="L9" s="5">
        <f t="shared" si="4"/>
        <v>42.14</v>
      </c>
      <c r="M9" s="5">
        <f t="shared" si="5"/>
        <v>4171.8599999999997</v>
      </c>
      <c r="N9" s="5">
        <f t="shared" si="6"/>
        <v>83.44</v>
      </c>
      <c r="O9" s="5">
        <f t="shared" si="7"/>
        <v>4088.42</v>
      </c>
      <c r="P9" s="5">
        <f t="shared" si="8"/>
        <v>102.21</v>
      </c>
      <c r="Q9" s="5">
        <f t="shared" si="9"/>
        <v>227.79</v>
      </c>
      <c r="R9" s="5">
        <f t="shared" si="10"/>
        <v>3986.21</v>
      </c>
      <c r="S9" s="6">
        <v>0.18</v>
      </c>
      <c r="T9" s="5">
        <f t="shared" si="11"/>
        <v>717.52</v>
      </c>
      <c r="U9" s="5">
        <f t="shared" si="12"/>
        <v>4703.7299999999996</v>
      </c>
      <c r="V9" s="5">
        <f t="shared" si="0"/>
        <v>390033.2916</v>
      </c>
      <c r="W9" s="5">
        <f t="shared" si="1"/>
        <v>12479.46</v>
      </c>
    </row>
    <row r="10" spans="1:23">
      <c r="A10" s="5">
        <v>8</v>
      </c>
      <c r="B10" s="5" t="s">
        <v>81</v>
      </c>
      <c r="C10" s="5" t="s">
        <v>12</v>
      </c>
      <c r="D10" s="5" t="s">
        <v>12</v>
      </c>
      <c r="E10" s="5">
        <v>30</v>
      </c>
      <c r="F10" s="5">
        <v>65.319999999999993</v>
      </c>
      <c r="G10" s="5">
        <f t="shared" si="2"/>
        <v>1959.6</v>
      </c>
      <c r="H10" s="6">
        <v>0.01</v>
      </c>
      <c r="I10" s="6">
        <v>0.02</v>
      </c>
      <c r="J10" s="21">
        <v>2.5000000000000001E-2</v>
      </c>
      <c r="K10" s="5">
        <f t="shared" si="3"/>
        <v>1959.6</v>
      </c>
      <c r="L10" s="5">
        <f t="shared" si="4"/>
        <v>19.600000000000001</v>
      </c>
      <c r="M10" s="5">
        <f t="shared" si="5"/>
        <v>1940</v>
      </c>
      <c r="N10" s="5">
        <f t="shared" si="6"/>
        <v>38.799999999999997</v>
      </c>
      <c r="O10" s="5">
        <f t="shared" si="7"/>
        <v>1901.2</v>
      </c>
      <c r="P10" s="5">
        <f t="shared" si="8"/>
        <v>47.53</v>
      </c>
      <c r="Q10" s="5">
        <f t="shared" si="9"/>
        <v>105.93</v>
      </c>
      <c r="R10" s="5">
        <f t="shared" si="10"/>
        <v>1853.67</v>
      </c>
      <c r="S10" s="6">
        <v>0.18</v>
      </c>
      <c r="T10" s="5">
        <f t="shared" si="11"/>
        <v>333.66</v>
      </c>
      <c r="U10" s="5">
        <f t="shared" si="12"/>
        <v>2187.33</v>
      </c>
      <c r="V10" s="5">
        <f t="shared" si="0"/>
        <v>181373.40359999999</v>
      </c>
      <c r="W10" s="5">
        <f t="shared" si="1"/>
        <v>5416.3343999999997</v>
      </c>
    </row>
    <row r="11" spans="1:23">
      <c r="A11" s="5">
        <v>9</v>
      </c>
      <c r="B11" s="5" t="s">
        <v>83</v>
      </c>
      <c r="C11" s="5" t="s">
        <v>12</v>
      </c>
      <c r="D11" s="5" t="s">
        <v>12</v>
      </c>
      <c r="E11" s="5">
        <v>25</v>
      </c>
      <c r="F11" s="5">
        <v>74.89</v>
      </c>
      <c r="G11" s="5">
        <f t="shared" si="2"/>
        <v>1872.25</v>
      </c>
      <c r="H11" s="6">
        <v>0.01</v>
      </c>
      <c r="I11" s="6">
        <v>0.02</v>
      </c>
      <c r="J11" s="21">
        <v>2.5000000000000001E-2</v>
      </c>
      <c r="K11" s="5">
        <f t="shared" si="3"/>
        <v>1872.25</v>
      </c>
      <c r="L11" s="5">
        <f t="shared" si="4"/>
        <v>18.72</v>
      </c>
      <c r="M11" s="5">
        <f t="shared" si="5"/>
        <v>1853.53</v>
      </c>
      <c r="N11" s="5">
        <f t="shared" si="6"/>
        <v>37.07</v>
      </c>
      <c r="O11" s="5">
        <f t="shared" si="7"/>
        <v>1816.46</v>
      </c>
      <c r="P11" s="5">
        <f t="shared" si="8"/>
        <v>45.41</v>
      </c>
      <c r="Q11" s="5">
        <f t="shared" si="9"/>
        <v>101.2</v>
      </c>
      <c r="R11" s="5">
        <f t="shared" si="10"/>
        <v>1771.05</v>
      </c>
      <c r="S11" s="6">
        <v>0.18</v>
      </c>
      <c r="T11" s="5">
        <f t="shared" si="11"/>
        <v>318.79000000000002</v>
      </c>
      <c r="U11" s="5">
        <f t="shared" si="12"/>
        <v>2089.84</v>
      </c>
      <c r="V11" s="5">
        <f t="shared" si="0"/>
        <v>173289.53279999999</v>
      </c>
      <c r="W11" s="5">
        <f t="shared" si="1"/>
        <v>6209.8788000000004</v>
      </c>
    </row>
    <row r="12" spans="1:23">
      <c r="A12" s="5">
        <v>10</v>
      </c>
      <c r="B12" s="5" t="s">
        <v>85</v>
      </c>
      <c r="C12" s="5" t="s">
        <v>12</v>
      </c>
      <c r="D12" s="5" t="s">
        <v>12</v>
      </c>
      <c r="E12" s="5">
        <v>28</v>
      </c>
      <c r="F12" s="5">
        <v>89.56</v>
      </c>
      <c r="G12" s="5">
        <f t="shared" si="2"/>
        <v>2507.6799999999998</v>
      </c>
      <c r="H12" s="6">
        <v>0.01</v>
      </c>
      <c r="I12" s="6">
        <v>0.02</v>
      </c>
      <c r="J12" s="21">
        <v>2.5000000000000001E-2</v>
      </c>
      <c r="K12" s="5">
        <f t="shared" si="3"/>
        <v>2507.6799999999998</v>
      </c>
      <c r="L12" s="5">
        <f t="shared" si="4"/>
        <v>25.08</v>
      </c>
      <c r="M12" s="5">
        <f t="shared" si="5"/>
        <v>2482.6</v>
      </c>
      <c r="N12" s="5">
        <f t="shared" si="6"/>
        <v>49.65</v>
      </c>
      <c r="O12" s="5">
        <f t="shared" si="7"/>
        <v>2432.9499999999998</v>
      </c>
      <c r="P12" s="5">
        <f t="shared" si="8"/>
        <v>60.82</v>
      </c>
      <c r="Q12" s="5">
        <f t="shared" si="9"/>
        <v>135.55000000000001</v>
      </c>
      <c r="R12" s="5">
        <f t="shared" si="10"/>
        <v>2372.13</v>
      </c>
      <c r="S12" s="6">
        <v>0.18</v>
      </c>
      <c r="T12" s="5">
        <f t="shared" si="11"/>
        <v>426.98</v>
      </c>
      <c r="U12" s="5">
        <f t="shared" si="12"/>
        <v>2799.11</v>
      </c>
      <c r="V12" s="5">
        <f t="shared" si="0"/>
        <v>232102.20120000001</v>
      </c>
      <c r="W12" s="5">
        <f t="shared" si="1"/>
        <v>7426.3152</v>
      </c>
    </row>
    <row r="13" spans="1:23">
      <c r="A13" s="5">
        <v>11</v>
      </c>
      <c r="B13" s="5" t="s">
        <v>87</v>
      </c>
      <c r="C13" s="5" t="s">
        <v>12</v>
      </c>
      <c r="D13" s="5" t="s">
        <v>12</v>
      </c>
      <c r="E13" s="5">
        <v>37</v>
      </c>
      <c r="F13" s="5">
        <v>89.54</v>
      </c>
      <c r="G13" s="5">
        <f t="shared" si="2"/>
        <v>3312.98</v>
      </c>
      <c r="H13" s="6">
        <v>0.01</v>
      </c>
      <c r="I13" s="6">
        <v>0.02</v>
      </c>
      <c r="J13" s="21">
        <v>2.5000000000000001E-2</v>
      </c>
      <c r="K13" s="5">
        <f t="shared" si="3"/>
        <v>3312.98</v>
      </c>
      <c r="L13" s="5">
        <f t="shared" si="4"/>
        <v>33.130000000000003</v>
      </c>
      <c r="M13" s="5">
        <f t="shared" si="5"/>
        <v>3279.85</v>
      </c>
      <c r="N13" s="5">
        <f t="shared" si="6"/>
        <v>65.599999999999994</v>
      </c>
      <c r="O13" s="5">
        <f t="shared" si="7"/>
        <v>3214.25</v>
      </c>
      <c r="P13" s="5">
        <f t="shared" si="8"/>
        <v>80.36</v>
      </c>
      <c r="Q13" s="5">
        <f t="shared" si="9"/>
        <v>179.09</v>
      </c>
      <c r="R13" s="5">
        <f t="shared" si="10"/>
        <v>3133.89</v>
      </c>
      <c r="S13" s="6">
        <v>0.18</v>
      </c>
      <c r="T13" s="5">
        <f t="shared" si="11"/>
        <v>564.1</v>
      </c>
      <c r="U13" s="5">
        <f t="shared" si="12"/>
        <v>3697.99</v>
      </c>
      <c r="V13" s="5">
        <f t="shared" si="0"/>
        <v>306637.3308</v>
      </c>
      <c r="W13" s="5">
        <f t="shared" si="1"/>
        <v>7424.6567999999997</v>
      </c>
    </row>
    <row r="14" spans="1:23">
      <c r="A14" s="5">
        <v>12</v>
      </c>
      <c r="B14" s="5" t="s">
        <v>89</v>
      </c>
      <c r="C14" s="5" t="s">
        <v>12</v>
      </c>
      <c r="D14" s="5" t="s">
        <v>12</v>
      </c>
      <c r="E14" s="5">
        <v>39</v>
      </c>
      <c r="F14" s="5">
        <v>98.25</v>
      </c>
      <c r="G14" s="5">
        <f t="shared" si="2"/>
        <v>3831.75</v>
      </c>
      <c r="H14" s="6">
        <v>0.01</v>
      </c>
      <c r="I14" s="6">
        <v>0.02</v>
      </c>
      <c r="J14" s="21">
        <v>2.5000000000000001E-2</v>
      </c>
      <c r="K14" s="5">
        <f t="shared" si="3"/>
        <v>3831.75</v>
      </c>
      <c r="L14" s="5">
        <f t="shared" si="4"/>
        <v>38.32</v>
      </c>
      <c r="M14" s="5">
        <f t="shared" si="5"/>
        <v>3793.43</v>
      </c>
      <c r="N14" s="5">
        <f t="shared" si="6"/>
        <v>75.87</v>
      </c>
      <c r="O14" s="5">
        <f t="shared" si="7"/>
        <v>3717.56</v>
      </c>
      <c r="P14" s="5">
        <f t="shared" si="8"/>
        <v>92.94</v>
      </c>
      <c r="Q14" s="5">
        <f t="shared" si="9"/>
        <v>207.13</v>
      </c>
      <c r="R14" s="5">
        <f t="shared" si="10"/>
        <v>3624.62</v>
      </c>
      <c r="S14" s="6">
        <v>0.18</v>
      </c>
      <c r="T14" s="5">
        <f t="shared" si="11"/>
        <v>652.42999999999995</v>
      </c>
      <c r="U14" s="5">
        <f t="shared" si="12"/>
        <v>4277.05</v>
      </c>
      <c r="V14" s="5">
        <f t="shared" si="0"/>
        <v>354652.98599999998</v>
      </c>
      <c r="W14" s="5">
        <f t="shared" si="1"/>
        <v>8146.89</v>
      </c>
    </row>
    <row r="15" spans="1:23">
      <c r="A15" s="5">
        <v>13</v>
      </c>
      <c r="B15" s="5" t="s">
        <v>91</v>
      </c>
      <c r="C15" s="5" t="s">
        <v>12</v>
      </c>
      <c r="D15" s="5" t="s">
        <v>12</v>
      </c>
      <c r="E15" s="5">
        <v>70</v>
      </c>
      <c r="F15" s="5">
        <v>102.25</v>
      </c>
      <c r="G15" s="5">
        <f t="shared" si="2"/>
        <v>7157.5</v>
      </c>
      <c r="H15" s="6">
        <v>0.01</v>
      </c>
      <c r="I15" s="6">
        <v>0.02</v>
      </c>
      <c r="J15" s="21">
        <v>2.5000000000000001E-2</v>
      </c>
      <c r="K15" s="5">
        <f t="shared" si="3"/>
        <v>7157.5</v>
      </c>
      <c r="L15" s="5">
        <f t="shared" si="4"/>
        <v>71.58</v>
      </c>
      <c r="M15" s="5">
        <f t="shared" si="5"/>
        <v>7085.92</v>
      </c>
      <c r="N15" s="5">
        <f t="shared" si="6"/>
        <v>141.72</v>
      </c>
      <c r="O15" s="5">
        <f t="shared" si="7"/>
        <v>6944.2</v>
      </c>
      <c r="P15" s="5">
        <f t="shared" si="8"/>
        <v>173.61</v>
      </c>
      <c r="Q15" s="5">
        <f t="shared" si="9"/>
        <v>386.91</v>
      </c>
      <c r="R15" s="5">
        <f t="shared" si="10"/>
        <v>6770.59</v>
      </c>
      <c r="S15" s="6">
        <v>0.18</v>
      </c>
      <c r="T15" s="5">
        <f t="shared" si="11"/>
        <v>1218.71</v>
      </c>
      <c r="U15" s="5">
        <f t="shared" si="12"/>
        <v>7989.3</v>
      </c>
      <c r="V15" s="5">
        <f t="shared" si="0"/>
        <v>662472.75600000005</v>
      </c>
      <c r="W15" s="5">
        <f t="shared" si="1"/>
        <v>8478.57</v>
      </c>
    </row>
    <row r="16" spans="1:23">
      <c r="A16" s="5">
        <v>14</v>
      </c>
      <c r="B16" s="5" t="s">
        <v>93</v>
      </c>
      <c r="C16" s="5" t="s">
        <v>12</v>
      </c>
      <c r="D16" s="5" t="s">
        <v>12</v>
      </c>
      <c r="E16" s="5">
        <v>100</v>
      </c>
      <c r="F16" s="5">
        <v>103.5</v>
      </c>
      <c r="G16" s="5">
        <f t="shared" si="2"/>
        <v>10350</v>
      </c>
      <c r="H16" s="6">
        <v>0.01</v>
      </c>
      <c r="I16" s="6">
        <v>0.02</v>
      </c>
      <c r="J16" s="21">
        <v>2.5000000000000001E-2</v>
      </c>
      <c r="K16" s="5">
        <f t="shared" si="3"/>
        <v>10350</v>
      </c>
      <c r="L16" s="5">
        <f t="shared" si="4"/>
        <v>103.5</v>
      </c>
      <c r="M16" s="5">
        <f t="shared" si="5"/>
        <v>10246.5</v>
      </c>
      <c r="N16" s="5">
        <f t="shared" si="6"/>
        <v>204.93</v>
      </c>
      <c r="O16" s="5">
        <f t="shared" si="7"/>
        <v>10041.57</v>
      </c>
      <c r="P16" s="5">
        <f t="shared" si="8"/>
        <v>251.04</v>
      </c>
      <c r="Q16" s="5">
        <f t="shared" si="9"/>
        <v>559.47</v>
      </c>
      <c r="R16" s="5">
        <f t="shared" si="10"/>
        <v>9790.5300000000007</v>
      </c>
      <c r="S16" s="6">
        <v>0.18</v>
      </c>
      <c r="T16" s="5">
        <f t="shared" si="11"/>
        <v>1762.3</v>
      </c>
      <c r="U16" s="5">
        <f t="shared" si="12"/>
        <v>11552.83</v>
      </c>
      <c r="V16" s="5">
        <f t="shared" si="0"/>
        <v>957960.66359999997</v>
      </c>
      <c r="W16" s="5">
        <f t="shared" si="1"/>
        <v>8582.2199999999993</v>
      </c>
    </row>
    <row r="17" spans="1:23">
      <c r="A17" s="5">
        <v>15</v>
      </c>
      <c r="B17" s="5" t="s">
        <v>95</v>
      </c>
      <c r="C17" s="5" t="s">
        <v>12</v>
      </c>
      <c r="D17" s="5" t="s">
        <v>12</v>
      </c>
      <c r="E17" s="5">
        <v>85</v>
      </c>
      <c r="F17" s="5">
        <v>65.48</v>
      </c>
      <c r="G17" s="5">
        <f t="shared" si="2"/>
        <v>5565.8</v>
      </c>
      <c r="H17" s="6">
        <v>0.01</v>
      </c>
      <c r="I17" s="6">
        <v>0.02</v>
      </c>
      <c r="J17" s="21">
        <v>2.5000000000000001E-2</v>
      </c>
      <c r="K17" s="5">
        <f t="shared" si="3"/>
        <v>5565.8</v>
      </c>
      <c r="L17" s="5">
        <f t="shared" si="4"/>
        <v>55.66</v>
      </c>
      <c r="M17" s="5">
        <f t="shared" si="5"/>
        <v>5510.14</v>
      </c>
      <c r="N17" s="5">
        <f t="shared" si="6"/>
        <v>110.2</v>
      </c>
      <c r="O17" s="5">
        <f t="shared" si="7"/>
        <v>5399.94</v>
      </c>
      <c r="P17" s="5">
        <f t="shared" si="8"/>
        <v>135</v>
      </c>
      <c r="Q17" s="5">
        <f t="shared" si="9"/>
        <v>300.86</v>
      </c>
      <c r="R17" s="5">
        <f t="shared" si="10"/>
        <v>5264.94</v>
      </c>
      <c r="S17" s="6">
        <v>0.18</v>
      </c>
      <c r="T17" s="5">
        <f t="shared" si="11"/>
        <v>947.69</v>
      </c>
      <c r="U17" s="5">
        <f t="shared" si="12"/>
        <v>6212.63</v>
      </c>
      <c r="V17" s="5">
        <f t="shared" si="0"/>
        <v>515151.27960000001</v>
      </c>
      <c r="W17" s="5">
        <f t="shared" si="1"/>
        <v>5429.6016</v>
      </c>
    </row>
    <row r="18" spans="1:23">
      <c r="B18" s="81" t="s">
        <v>14</v>
      </c>
      <c r="C18" s="81"/>
      <c r="D18" s="81"/>
      <c r="E18" s="81"/>
      <c r="F18" s="81"/>
      <c r="G18" s="7">
        <f>SUM(G3:G17)</f>
        <v>71856.759999999995</v>
      </c>
      <c r="H18" s="5"/>
      <c r="I18" s="5"/>
      <c r="J18" s="5"/>
      <c r="K18" s="5"/>
      <c r="L18" s="5"/>
      <c r="M18" s="5"/>
      <c r="N18" s="5"/>
      <c r="O18" s="5"/>
      <c r="P18" s="5"/>
      <c r="Q18" s="7">
        <f>SUM(Q3:Q17)</f>
        <v>3884.27</v>
      </c>
      <c r="R18" s="7">
        <f>SUM(R3:R17)</f>
        <v>67972.490000000005</v>
      </c>
      <c r="S18" s="7"/>
      <c r="T18" s="7">
        <f>SUM(T3:T17)</f>
        <v>12235.06</v>
      </c>
      <c r="U18" s="18">
        <f t="shared" ref="U18:V18" si="13">SUM(U3:U17)</f>
        <v>80207.55</v>
      </c>
      <c r="V18" s="18">
        <f t="shared" si="13"/>
        <v>6650810.0460000001</v>
      </c>
      <c r="W18" s="18"/>
    </row>
    <row r="20" spans="1:23">
      <c r="F20" s="95" t="s">
        <v>176</v>
      </c>
      <c r="G20" s="95"/>
      <c r="H20" s="95"/>
      <c r="I20" s="95"/>
      <c r="K20" s="95" t="s">
        <v>177</v>
      </c>
      <c r="L20" s="95"/>
      <c r="M20" s="95"/>
      <c r="N20" s="95"/>
    </row>
    <row r="21" spans="1:23">
      <c r="F21" s="88" t="s">
        <v>164</v>
      </c>
      <c r="G21" s="89"/>
      <c r="H21" s="96">
        <f>G18</f>
        <v>71856.759999999995</v>
      </c>
      <c r="I21" s="96"/>
      <c r="J21" s="10"/>
      <c r="K21" s="88" t="s">
        <v>164</v>
      </c>
      <c r="L21" s="89"/>
      <c r="M21" s="96">
        <f>H21*$T$1</f>
        <v>5958362.5392000005</v>
      </c>
      <c r="N21" s="96"/>
    </row>
    <row r="22" spans="1:23">
      <c r="F22" s="88" t="s">
        <v>166</v>
      </c>
      <c r="G22" s="89"/>
      <c r="H22" s="96">
        <f>Q18</f>
        <v>3884.27</v>
      </c>
      <c r="I22" s="96"/>
      <c r="K22" s="88" t="s">
        <v>166</v>
      </c>
      <c r="L22" s="89"/>
      <c r="M22" s="96">
        <f t="shared" ref="M22:M25" si="14">H22*$T$1</f>
        <v>322083.66840000002</v>
      </c>
      <c r="N22" s="96"/>
      <c r="V22" s="20"/>
    </row>
    <row r="23" spans="1:23">
      <c r="F23" s="88" t="s">
        <v>167</v>
      </c>
      <c r="G23" s="89"/>
      <c r="H23" s="96">
        <f>R18</f>
        <v>67972.490000000005</v>
      </c>
      <c r="I23" s="96"/>
      <c r="K23" s="88" t="s">
        <v>167</v>
      </c>
      <c r="L23" s="89"/>
      <c r="M23" s="96">
        <f t="shared" si="14"/>
        <v>5636278.8707999997</v>
      </c>
      <c r="N23" s="96"/>
      <c r="V23" s="20"/>
    </row>
    <row r="24" spans="1:23">
      <c r="F24" s="88" t="s">
        <v>168</v>
      </c>
      <c r="G24" s="89"/>
      <c r="H24" s="96">
        <f>T18</f>
        <v>12235.06</v>
      </c>
      <c r="I24" s="96"/>
      <c r="K24" s="88" t="s">
        <v>168</v>
      </c>
      <c r="L24" s="89"/>
      <c r="M24" s="96">
        <f t="shared" si="14"/>
        <v>1014531.1752000001</v>
      </c>
      <c r="N24" s="96"/>
      <c r="V24" s="20"/>
    </row>
    <row r="25" spans="1:23">
      <c r="F25" s="88" t="s">
        <v>169</v>
      </c>
      <c r="G25" s="89"/>
      <c r="H25" s="97">
        <f>H23+H24</f>
        <v>80207.55</v>
      </c>
      <c r="I25" s="97"/>
      <c r="K25" s="88" t="s">
        <v>169</v>
      </c>
      <c r="L25" s="89"/>
      <c r="M25" s="97">
        <f t="shared" si="14"/>
        <v>6650810.0460000001</v>
      </c>
      <c r="N25" s="97"/>
    </row>
  </sheetData>
  <mergeCells count="24">
    <mergeCell ref="F24:G24"/>
    <mergeCell ref="H24:I24"/>
    <mergeCell ref="K24:L24"/>
    <mergeCell ref="M24:N24"/>
    <mergeCell ref="F25:G25"/>
    <mergeCell ref="H25:I25"/>
    <mergeCell ref="K25:L25"/>
    <mergeCell ref="M25:N25"/>
    <mergeCell ref="F22:G22"/>
    <mergeCell ref="H22:I22"/>
    <mergeCell ref="K22:L22"/>
    <mergeCell ref="M22:N22"/>
    <mergeCell ref="F23:G23"/>
    <mergeCell ref="H23:I23"/>
    <mergeCell ref="K23:L23"/>
    <mergeCell ref="M23:N23"/>
    <mergeCell ref="A1:P1"/>
    <mergeCell ref="B18:F18"/>
    <mergeCell ref="F20:I20"/>
    <mergeCell ref="K20:N20"/>
    <mergeCell ref="F21:G21"/>
    <mergeCell ref="H21:I21"/>
    <mergeCell ref="K21:L21"/>
    <mergeCell ref="M21:N21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W25"/>
  <sheetViews>
    <sheetView showGridLines="0" zoomScale="90" zoomScaleNormal="90" workbookViewId="0">
      <selection activeCell="O8" sqref="O8"/>
    </sheetView>
  </sheetViews>
  <sheetFormatPr defaultColWidth="9.140625" defaultRowHeight="14.25"/>
  <cols>
    <col min="1" max="1" width="4.42578125" style="2" customWidth="1"/>
    <col min="2" max="2" width="8.5703125" style="2" customWidth="1"/>
    <col min="3" max="3" width="10" style="2" customWidth="1"/>
    <col min="4" max="4" width="10.42578125" style="2" customWidth="1"/>
    <col min="5" max="5" width="4.5703125" style="2" customWidth="1"/>
    <col min="6" max="6" width="10.140625" style="2" customWidth="1"/>
    <col min="7" max="7" width="11.85546875" style="2" customWidth="1"/>
    <col min="8" max="8" width="6.42578125" style="2" customWidth="1"/>
    <col min="9" max="9" width="6.28515625" style="2" customWidth="1"/>
    <col min="10" max="10" width="6.85546875" style="2" customWidth="1"/>
    <col min="11" max="11" width="13.85546875" style="2" customWidth="1"/>
    <col min="12" max="12" width="9.140625" style="2" customWidth="1"/>
    <col min="13" max="13" width="13.7109375" style="2" customWidth="1"/>
    <col min="14" max="14" width="9" style="2" customWidth="1"/>
    <col min="15" max="15" width="13.85546875" style="2" customWidth="1"/>
    <col min="16" max="16" width="8.85546875" style="2" customWidth="1"/>
    <col min="17" max="17" width="14.42578125" style="2" customWidth="1"/>
    <col min="18" max="18" width="11.5703125" style="2" customWidth="1"/>
    <col min="19" max="19" width="7.140625" style="2" customWidth="1"/>
    <col min="20" max="21" width="11.5703125" style="2" customWidth="1"/>
    <col min="22" max="22" width="15.5703125" style="2" customWidth="1"/>
    <col min="23" max="23" width="14" style="2" customWidth="1"/>
    <col min="24" max="16384" width="9.140625" style="2"/>
  </cols>
  <sheetData>
    <row r="1" spans="1:23" ht="21" customHeight="1">
      <c r="A1" s="87" t="s">
        <v>178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1" t="s">
        <v>171</v>
      </c>
      <c r="R1" s="11" t="s">
        <v>172</v>
      </c>
      <c r="S1" s="12"/>
      <c r="T1" s="11">
        <v>82.92</v>
      </c>
      <c r="U1" s="13"/>
      <c r="V1" s="14"/>
    </row>
    <row r="2" spans="1:23" s="1" customFormat="1" ht="28.5">
      <c r="A2" s="3" t="s">
        <v>125</v>
      </c>
      <c r="B2" s="3" t="s">
        <v>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24</v>
      </c>
      <c r="I2" s="4" t="s">
        <v>26</v>
      </c>
      <c r="J2" s="4" t="s">
        <v>25</v>
      </c>
      <c r="K2" s="8" t="s">
        <v>27</v>
      </c>
      <c r="L2" s="8" t="s">
        <v>28</v>
      </c>
      <c r="M2" s="8" t="s">
        <v>31</v>
      </c>
      <c r="N2" s="8" t="s">
        <v>32</v>
      </c>
      <c r="O2" s="8" t="s">
        <v>127</v>
      </c>
      <c r="P2" s="8" t="s">
        <v>30</v>
      </c>
      <c r="Q2" s="4" t="s">
        <v>173</v>
      </c>
      <c r="R2" s="3" t="s">
        <v>174</v>
      </c>
      <c r="S2" s="15" t="s">
        <v>129</v>
      </c>
      <c r="T2" s="15" t="s">
        <v>40</v>
      </c>
      <c r="U2" s="16" t="s">
        <v>179</v>
      </c>
      <c r="V2" s="16" t="s">
        <v>175</v>
      </c>
      <c r="W2" s="17" t="s">
        <v>130</v>
      </c>
    </row>
    <row r="3" spans="1:23">
      <c r="A3" s="5">
        <v>1</v>
      </c>
      <c r="B3" s="5" t="s">
        <v>67</v>
      </c>
      <c r="C3" s="5" t="s">
        <v>12</v>
      </c>
      <c r="D3" s="5" t="s">
        <v>133</v>
      </c>
      <c r="E3" s="5">
        <v>25</v>
      </c>
      <c r="F3" s="5">
        <v>257.63</v>
      </c>
      <c r="G3" s="5">
        <f>E3*F3</f>
        <v>6440.75</v>
      </c>
      <c r="H3" s="6">
        <v>0.01</v>
      </c>
      <c r="I3" s="6">
        <v>0.02</v>
      </c>
      <c r="J3" s="9">
        <v>2.5000000000000001E-2</v>
      </c>
      <c r="K3" s="5">
        <f>G3</f>
        <v>6440.75</v>
      </c>
      <c r="L3" s="5">
        <f>ROUND(K3*H3,2)</f>
        <v>64.41</v>
      </c>
      <c r="M3" s="5">
        <f>G3-L3</f>
        <v>6376.34</v>
      </c>
      <c r="N3" s="5">
        <f>ROUND(M3*I3,2)</f>
        <v>127.53</v>
      </c>
      <c r="O3" s="5">
        <f>ROUND(M3-N3,2)</f>
        <v>6248.81</v>
      </c>
      <c r="P3" s="5">
        <f>ROUND(O3*J3,2)</f>
        <v>156.22</v>
      </c>
      <c r="Q3" s="5">
        <f>ROUND((L3+N3+P3),2)</f>
        <v>348.16</v>
      </c>
      <c r="R3" s="5">
        <f>ROUND((G3-Q3),2)</f>
        <v>6092.59</v>
      </c>
      <c r="S3" s="6">
        <v>0.18</v>
      </c>
      <c r="T3" s="5">
        <f>ROUND((R3*18%),2)</f>
        <v>1096.67</v>
      </c>
      <c r="U3" s="5">
        <f>R3+T3</f>
        <v>7189.26</v>
      </c>
      <c r="V3" s="5">
        <f>U3*$T$1</f>
        <v>596133.43920000002</v>
      </c>
      <c r="W3" s="5">
        <f t="shared" ref="W3:W8" si="0">ROUND(F3*$S$21*$T$1,2)</f>
        <v>42725.36</v>
      </c>
    </row>
    <row r="4" spans="1:23">
      <c r="A4" s="5">
        <v>2</v>
      </c>
      <c r="B4" s="5" t="s">
        <v>69</v>
      </c>
      <c r="C4" s="5" t="s">
        <v>12</v>
      </c>
      <c r="D4" s="5" t="s">
        <v>133</v>
      </c>
      <c r="E4" s="5">
        <v>35</v>
      </c>
      <c r="F4" s="5">
        <v>125.45</v>
      </c>
      <c r="G4" s="5">
        <f>E4*F4</f>
        <v>4390.75</v>
      </c>
      <c r="H4" s="6">
        <v>0.01</v>
      </c>
      <c r="I4" s="6">
        <v>0.02</v>
      </c>
      <c r="J4" s="9">
        <v>2.5000000000000001E-2</v>
      </c>
      <c r="K4" s="5">
        <f>G4</f>
        <v>4390.75</v>
      </c>
      <c r="L4" s="5">
        <f>ROUND(K4*H4,2)</f>
        <v>43.91</v>
      </c>
      <c r="M4" s="5">
        <f>G4-L4</f>
        <v>4346.84</v>
      </c>
      <c r="N4" s="5">
        <f>ROUND(M4*I4,2)</f>
        <v>86.94</v>
      </c>
      <c r="O4" s="5">
        <f>ROUND(M4-N4,2)</f>
        <v>4259.8999999999996</v>
      </c>
      <c r="P4" s="5">
        <f>ROUND(O4*J4,2)</f>
        <v>106.5</v>
      </c>
      <c r="Q4" s="5">
        <f>ROUND((L4+N4+P4),2)</f>
        <v>237.35</v>
      </c>
      <c r="R4" s="5">
        <f>ROUND((G4-Q4),2)</f>
        <v>4153.3999999999996</v>
      </c>
      <c r="S4" s="6">
        <v>0.18</v>
      </c>
      <c r="T4" s="5">
        <f>ROUND((R4*18%),2)</f>
        <v>747.61</v>
      </c>
      <c r="U4" s="5">
        <f>R4+T4</f>
        <v>4901.01</v>
      </c>
      <c r="V4" s="5">
        <f t="shared" ref="V4:V17" si="1">U4*$T$1</f>
        <v>406391.74920000002</v>
      </c>
      <c r="W4" s="5">
        <f t="shared" si="0"/>
        <v>20804.63</v>
      </c>
    </row>
    <row r="5" spans="1:23">
      <c r="A5" s="5">
        <v>3</v>
      </c>
      <c r="B5" s="5" t="s">
        <v>71</v>
      </c>
      <c r="C5" s="5" t="s">
        <v>12</v>
      </c>
      <c r="D5" s="5" t="s">
        <v>133</v>
      </c>
      <c r="E5" s="5">
        <v>45</v>
      </c>
      <c r="F5" s="5">
        <v>125.36</v>
      </c>
      <c r="G5" s="5">
        <f>E5*F5</f>
        <v>5641.2</v>
      </c>
      <c r="H5" s="6">
        <v>0.01</v>
      </c>
      <c r="I5" s="6">
        <v>0.02</v>
      </c>
      <c r="J5" s="9">
        <v>2.5000000000000001E-2</v>
      </c>
      <c r="K5" s="5">
        <f>G5</f>
        <v>5641.2</v>
      </c>
      <c r="L5" s="5">
        <f>ROUND(K5*H5,2)</f>
        <v>56.41</v>
      </c>
      <c r="M5" s="5">
        <f>G5-L5</f>
        <v>5584.79</v>
      </c>
      <c r="N5" s="5">
        <f>ROUND(M5*I5,2)</f>
        <v>111.7</v>
      </c>
      <c r="O5" s="5">
        <f>ROUND(M5-N5,2)</f>
        <v>5473.09</v>
      </c>
      <c r="P5" s="5">
        <f>ROUND(O5*J5,2)</f>
        <v>136.83000000000001</v>
      </c>
      <c r="Q5" s="5">
        <f>ROUND((L5+N5+P5),2)</f>
        <v>304.94</v>
      </c>
      <c r="R5" s="5">
        <f>ROUND((G5-Q5),2)</f>
        <v>5336.26</v>
      </c>
      <c r="S5" s="6">
        <v>0.18</v>
      </c>
      <c r="T5" s="5">
        <f>ROUND((R5*18%),2)</f>
        <v>960.53</v>
      </c>
      <c r="U5" s="5">
        <f>R5+T5</f>
        <v>6296.79</v>
      </c>
      <c r="V5" s="5">
        <f t="shared" si="1"/>
        <v>522129.82679999998</v>
      </c>
      <c r="W5" s="5">
        <f t="shared" si="0"/>
        <v>20789.7</v>
      </c>
    </row>
    <row r="6" spans="1:23">
      <c r="A6" s="5">
        <v>4</v>
      </c>
      <c r="B6" s="5" t="s">
        <v>73</v>
      </c>
      <c r="C6" s="5" t="s">
        <v>12</v>
      </c>
      <c r="D6" s="5" t="s">
        <v>133</v>
      </c>
      <c r="E6" s="5">
        <v>55</v>
      </c>
      <c r="F6" s="5">
        <v>45.25</v>
      </c>
      <c r="G6" s="5">
        <f t="shared" ref="G6:G17" si="2">E6*F6</f>
        <v>2488.75</v>
      </c>
      <c r="H6" s="6">
        <v>0.01</v>
      </c>
      <c r="I6" s="6">
        <v>0.02</v>
      </c>
      <c r="J6" s="9">
        <v>2.5000000000000001E-2</v>
      </c>
      <c r="K6" s="5">
        <f t="shared" ref="K6:K17" si="3">G6</f>
        <v>2488.75</v>
      </c>
      <c r="L6" s="5">
        <f t="shared" ref="L6:L17" si="4">ROUND(K6*H6,2)</f>
        <v>24.89</v>
      </c>
      <c r="M6" s="5">
        <f t="shared" ref="M6:M17" si="5">G6-L6</f>
        <v>2463.86</v>
      </c>
      <c r="N6" s="5">
        <f t="shared" ref="N6:N17" si="6">ROUND(M6*I6,2)</f>
        <v>49.28</v>
      </c>
      <c r="O6" s="5">
        <f t="shared" ref="O6:O17" si="7">ROUND(M6-N6,2)</f>
        <v>2414.58</v>
      </c>
      <c r="P6" s="5">
        <f t="shared" ref="P6:P17" si="8">ROUND(O6*J6,2)</f>
        <v>60.36</v>
      </c>
      <c r="Q6" s="5">
        <f t="shared" ref="Q6:Q17" si="9">ROUND((L6+N6+P6),2)</f>
        <v>134.53</v>
      </c>
      <c r="R6" s="5">
        <f t="shared" ref="R6:R17" si="10">ROUND((G6-Q6),2)</f>
        <v>2354.2199999999998</v>
      </c>
      <c r="S6" s="6">
        <v>0.18</v>
      </c>
      <c r="T6" s="5">
        <f t="shared" ref="T6:T17" si="11">ROUND((R6*18%),2)</f>
        <v>423.76</v>
      </c>
      <c r="U6" s="5">
        <f t="shared" ref="U6:U17" si="12">R6+T6</f>
        <v>2777.98</v>
      </c>
      <c r="V6" s="5">
        <f t="shared" si="1"/>
        <v>230350.10159999999</v>
      </c>
      <c r="W6" s="5">
        <f t="shared" si="0"/>
        <v>7504.26</v>
      </c>
    </row>
    <row r="7" spans="1:23">
      <c r="A7" s="5">
        <v>5</v>
      </c>
      <c r="B7" s="5" t="s">
        <v>75</v>
      </c>
      <c r="C7" s="5" t="s">
        <v>12</v>
      </c>
      <c r="D7" s="5" t="s">
        <v>133</v>
      </c>
      <c r="E7" s="5">
        <v>60</v>
      </c>
      <c r="F7" s="5">
        <v>45.5</v>
      </c>
      <c r="G7" s="5">
        <f t="shared" si="2"/>
        <v>2730</v>
      </c>
      <c r="H7" s="6">
        <v>0.01</v>
      </c>
      <c r="I7" s="6">
        <v>0.02</v>
      </c>
      <c r="J7" s="9">
        <v>2.5000000000000001E-2</v>
      </c>
      <c r="K7" s="5">
        <f t="shared" si="3"/>
        <v>2730</v>
      </c>
      <c r="L7" s="5">
        <f t="shared" si="4"/>
        <v>27.3</v>
      </c>
      <c r="M7" s="5">
        <f t="shared" si="5"/>
        <v>2702.7</v>
      </c>
      <c r="N7" s="5">
        <f t="shared" si="6"/>
        <v>54.05</v>
      </c>
      <c r="O7" s="5">
        <f t="shared" si="7"/>
        <v>2648.65</v>
      </c>
      <c r="P7" s="5">
        <f t="shared" si="8"/>
        <v>66.22</v>
      </c>
      <c r="Q7" s="5">
        <f t="shared" si="9"/>
        <v>147.57</v>
      </c>
      <c r="R7" s="5">
        <f t="shared" si="10"/>
        <v>2582.4299999999998</v>
      </c>
      <c r="S7" s="6">
        <v>0.18</v>
      </c>
      <c r="T7" s="5">
        <f t="shared" si="11"/>
        <v>464.84</v>
      </c>
      <c r="U7" s="5">
        <f t="shared" si="12"/>
        <v>3047.27</v>
      </c>
      <c r="V7" s="5">
        <f t="shared" si="1"/>
        <v>252679.62839999999</v>
      </c>
      <c r="W7" s="5">
        <f t="shared" si="0"/>
        <v>7545.72</v>
      </c>
    </row>
    <row r="8" spans="1:23">
      <c r="A8" s="5">
        <v>6</v>
      </c>
      <c r="B8" s="5" t="s">
        <v>77</v>
      </c>
      <c r="C8" s="5" t="s">
        <v>12</v>
      </c>
      <c r="D8" s="5" t="s">
        <v>133</v>
      </c>
      <c r="E8" s="5">
        <v>75</v>
      </c>
      <c r="F8" s="5">
        <v>125.25</v>
      </c>
      <c r="G8" s="5">
        <f t="shared" si="2"/>
        <v>9393.75</v>
      </c>
      <c r="H8" s="6">
        <v>0.01</v>
      </c>
      <c r="I8" s="6">
        <v>0.02</v>
      </c>
      <c r="J8" s="9">
        <v>2.5000000000000001E-2</v>
      </c>
      <c r="K8" s="5">
        <f t="shared" si="3"/>
        <v>9393.75</v>
      </c>
      <c r="L8" s="5">
        <f t="shared" si="4"/>
        <v>93.94</v>
      </c>
      <c r="M8" s="5">
        <f t="shared" si="5"/>
        <v>9299.81</v>
      </c>
      <c r="N8" s="5">
        <f t="shared" si="6"/>
        <v>186</v>
      </c>
      <c r="O8" s="5">
        <f t="shared" si="7"/>
        <v>9113.81</v>
      </c>
      <c r="P8" s="5">
        <f t="shared" si="8"/>
        <v>227.85</v>
      </c>
      <c r="Q8" s="5">
        <f t="shared" si="9"/>
        <v>507.79</v>
      </c>
      <c r="R8" s="5">
        <f t="shared" si="10"/>
        <v>8885.9599999999991</v>
      </c>
      <c r="S8" s="6">
        <v>0.18</v>
      </c>
      <c r="T8" s="5">
        <f t="shared" si="11"/>
        <v>1599.47</v>
      </c>
      <c r="U8" s="5">
        <f t="shared" si="12"/>
        <v>10485.43</v>
      </c>
      <c r="V8" s="5">
        <f t="shared" si="1"/>
        <v>869451.85560000001</v>
      </c>
      <c r="W8" s="5">
        <f t="shared" si="0"/>
        <v>20771.46</v>
      </c>
    </row>
    <row r="9" spans="1:23">
      <c r="A9" s="5">
        <v>7</v>
      </c>
      <c r="B9" s="5" t="s">
        <v>79</v>
      </c>
      <c r="C9" s="5" t="s">
        <v>12</v>
      </c>
      <c r="D9" s="5" t="s">
        <v>146</v>
      </c>
      <c r="E9" s="5">
        <v>28</v>
      </c>
      <c r="F9" s="5">
        <v>150.5</v>
      </c>
      <c r="G9" s="5">
        <f t="shared" si="2"/>
        <v>4214</v>
      </c>
      <c r="H9" s="6">
        <v>0.01</v>
      </c>
      <c r="I9" s="6">
        <v>0.02</v>
      </c>
      <c r="J9" s="9">
        <v>2.5000000000000001E-2</v>
      </c>
      <c r="K9" s="5">
        <f t="shared" si="3"/>
        <v>4214</v>
      </c>
      <c r="L9" s="5">
        <f t="shared" si="4"/>
        <v>42.14</v>
      </c>
      <c r="M9" s="5">
        <f t="shared" si="5"/>
        <v>4171.8599999999997</v>
      </c>
      <c r="N9" s="5">
        <f t="shared" si="6"/>
        <v>83.44</v>
      </c>
      <c r="O9" s="5">
        <f t="shared" si="7"/>
        <v>4088.42</v>
      </c>
      <c r="P9" s="5">
        <f t="shared" si="8"/>
        <v>102.21</v>
      </c>
      <c r="Q9" s="5">
        <f t="shared" si="9"/>
        <v>227.79</v>
      </c>
      <c r="R9" s="5">
        <f t="shared" si="10"/>
        <v>3986.21</v>
      </c>
      <c r="S9" s="6">
        <v>0.18</v>
      </c>
      <c r="T9" s="5">
        <f t="shared" si="11"/>
        <v>717.52</v>
      </c>
      <c r="U9" s="5">
        <f t="shared" si="12"/>
        <v>4703.7299999999996</v>
      </c>
      <c r="V9" s="5">
        <f t="shared" si="1"/>
        <v>390033.2916</v>
      </c>
      <c r="W9" s="5">
        <f>ROUND(F9*$S$22*$T$1,2)</f>
        <v>31198.65</v>
      </c>
    </row>
    <row r="10" spans="1:23">
      <c r="A10" s="5">
        <v>8</v>
      </c>
      <c r="B10" s="5" t="s">
        <v>81</v>
      </c>
      <c r="C10" s="5" t="s">
        <v>12</v>
      </c>
      <c r="D10" s="5" t="s">
        <v>146</v>
      </c>
      <c r="E10" s="5">
        <v>30</v>
      </c>
      <c r="F10" s="5">
        <v>65.319999999999993</v>
      </c>
      <c r="G10" s="5">
        <f t="shared" si="2"/>
        <v>1959.6</v>
      </c>
      <c r="H10" s="6">
        <v>0.01</v>
      </c>
      <c r="I10" s="6">
        <v>0.02</v>
      </c>
      <c r="J10" s="9">
        <v>2.5000000000000001E-2</v>
      </c>
      <c r="K10" s="5">
        <f t="shared" si="3"/>
        <v>1959.6</v>
      </c>
      <c r="L10" s="5">
        <f t="shared" si="4"/>
        <v>19.600000000000001</v>
      </c>
      <c r="M10" s="5">
        <f t="shared" si="5"/>
        <v>1940</v>
      </c>
      <c r="N10" s="5">
        <f t="shared" si="6"/>
        <v>38.799999999999997</v>
      </c>
      <c r="O10" s="5">
        <f t="shared" si="7"/>
        <v>1901.2</v>
      </c>
      <c r="P10" s="5">
        <f t="shared" si="8"/>
        <v>47.53</v>
      </c>
      <c r="Q10" s="5">
        <f t="shared" si="9"/>
        <v>105.93</v>
      </c>
      <c r="R10" s="5">
        <f t="shared" si="10"/>
        <v>1853.67</v>
      </c>
      <c r="S10" s="6">
        <v>0.18</v>
      </c>
      <c r="T10" s="5">
        <f t="shared" si="11"/>
        <v>333.66</v>
      </c>
      <c r="U10" s="5">
        <f t="shared" si="12"/>
        <v>2187.33</v>
      </c>
      <c r="V10" s="5">
        <f t="shared" si="1"/>
        <v>181373.40359999999</v>
      </c>
      <c r="W10" s="5">
        <f>ROUND(F10*$S$22*$T$1,2)</f>
        <v>13540.84</v>
      </c>
    </row>
    <row r="11" spans="1:23">
      <c r="A11" s="5">
        <v>9</v>
      </c>
      <c r="B11" s="5" t="s">
        <v>83</v>
      </c>
      <c r="C11" s="5" t="s">
        <v>12</v>
      </c>
      <c r="D11" s="5" t="s">
        <v>146</v>
      </c>
      <c r="E11" s="5">
        <v>25</v>
      </c>
      <c r="F11" s="5">
        <v>74.89</v>
      </c>
      <c r="G11" s="5">
        <f t="shared" si="2"/>
        <v>1872.25</v>
      </c>
      <c r="H11" s="6">
        <v>0.01</v>
      </c>
      <c r="I11" s="6">
        <v>0.02</v>
      </c>
      <c r="J11" s="9">
        <v>2.5000000000000001E-2</v>
      </c>
      <c r="K11" s="5">
        <f t="shared" si="3"/>
        <v>1872.25</v>
      </c>
      <c r="L11" s="5">
        <f t="shared" si="4"/>
        <v>18.72</v>
      </c>
      <c r="M11" s="5">
        <f t="shared" si="5"/>
        <v>1853.53</v>
      </c>
      <c r="N11" s="5">
        <f t="shared" si="6"/>
        <v>37.07</v>
      </c>
      <c r="O11" s="5">
        <f t="shared" si="7"/>
        <v>1816.46</v>
      </c>
      <c r="P11" s="5">
        <f t="shared" si="8"/>
        <v>45.41</v>
      </c>
      <c r="Q11" s="5">
        <f t="shared" si="9"/>
        <v>101.2</v>
      </c>
      <c r="R11" s="5">
        <f t="shared" si="10"/>
        <v>1771.05</v>
      </c>
      <c r="S11" s="6">
        <v>0.18</v>
      </c>
      <c r="T11" s="5">
        <f t="shared" si="11"/>
        <v>318.79000000000002</v>
      </c>
      <c r="U11" s="5">
        <f t="shared" si="12"/>
        <v>2089.84</v>
      </c>
      <c r="V11" s="5">
        <f t="shared" si="1"/>
        <v>173289.53279999999</v>
      </c>
      <c r="W11" s="5">
        <f>ROUND(F11*$S$22*$T$1,2)</f>
        <v>15524.7</v>
      </c>
    </row>
    <row r="12" spans="1:23">
      <c r="A12" s="5">
        <v>10</v>
      </c>
      <c r="B12" s="5" t="s">
        <v>85</v>
      </c>
      <c r="C12" s="5" t="s">
        <v>12</v>
      </c>
      <c r="D12" s="5" t="s">
        <v>146</v>
      </c>
      <c r="E12" s="5">
        <v>28</v>
      </c>
      <c r="F12" s="5">
        <v>89.56</v>
      </c>
      <c r="G12" s="5">
        <f t="shared" si="2"/>
        <v>2507.6799999999998</v>
      </c>
      <c r="H12" s="6">
        <v>0.01</v>
      </c>
      <c r="I12" s="6">
        <v>0.02</v>
      </c>
      <c r="J12" s="9">
        <v>2.5000000000000001E-2</v>
      </c>
      <c r="K12" s="5">
        <f t="shared" si="3"/>
        <v>2507.6799999999998</v>
      </c>
      <c r="L12" s="5">
        <f t="shared" si="4"/>
        <v>25.08</v>
      </c>
      <c r="M12" s="5">
        <f t="shared" si="5"/>
        <v>2482.6</v>
      </c>
      <c r="N12" s="5">
        <f t="shared" si="6"/>
        <v>49.65</v>
      </c>
      <c r="O12" s="5">
        <f t="shared" si="7"/>
        <v>2432.9499999999998</v>
      </c>
      <c r="P12" s="5">
        <f t="shared" si="8"/>
        <v>60.82</v>
      </c>
      <c r="Q12" s="5">
        <f t="shared" si="9"/>
        <v>135.55000000000001</v>
      </c>
      <c r="R12" s="5">
        <f t="shared" si="10"/>
        <v>2372.13</v>
      </c>
      <c r="S12" s="6">
        <v>0.18</v>
      </c>
      <c r="T12" s="5">
        <f t="shared" si="11"/>
        <v>426.98</v>
      </c>
      <c r="U12" s="5">
        <f t="shared" si="12"/>
        <v>2799.11</v>
      </c>
      <c r="V12" s="5">
        <f t="shared" si="1"/>
        <v>232102.20120000001</v>
      </c>
      <c r="W12" s="5">
        <f>ROUND(F12*$S$22*$T$1,2)</f>
        <v>18565.79</v>
      </c>
    </row>
    <row r="13" spans="1:23">
      <c r="A13" s="5">
        <v>11</v>
      </c>
      <c r="B13" s="5" t="s">
        <v>87</v>
      </c>
      <c r="C13" s="5" t="s">
        <v>133</v>
      </c>
      <c r="D13" s="5" t="s">
        <v>155</v>
      </c>
      <c r="E13" s="5">
        <v>37</v>
      </c>
      <c r="F13" s="5">
        <v>89.54</v>
      </c>
      <c r="G13" s="5">
        <f t="shared" si="2"/>
        <v>3312.98</v>
      </c>
      <c r="H13" s="6">
        <v>0.01</v>
      </c>
      <c r="I13" s="6">
        <v>0.02</v>
      </c>
      <c r="J13" s="9">
        <v>2.5000000000000001E-2</v>
      </c>
      <c r="K13" s="5">
        <f t="shared" si="3"/>
        <v>3312.98</v>
      </c>
      <c r="L13" s="5">
        <f t="shared" si="4"/>
        <v>33.130000000000003</v>
      </c>
      <c r="M13" s="5">
        <f t="shared" si="5"/>
        <v>3279.85</v>
      </c>
      <c r="N13" s="5">
        <f t="shared" si="6"/>
        <v>65.599999999999994</v>
      </c>
      <c r="O13" s="5">
        <f t="shared" si="7"/>
        <v>3214.25</v>
      </c>
      <c r="P13" s="5">
        <f t="shared" si="8"/>
        <v>80.36</v>
      </c>
      <c r="Q13" s="5">
        <f t="shared" si="9"/>
        <v>179.09</v>
      </c>
      <c r="R13" s="5">
        <f t="shared" si="10"/>
        <v>3133.89</v>
      </c>
      <c r="S13" s="6">
        <v>0.18</v>
      </c>
      <c r="T13" s="5">
        <f t="shared" si="11"/>
        <v>564.1</v>
      </c>
      <c r="U13" s="5">
        <f t="shared" si="12"/>
        <v>3697.99</v>
      </c>
      <c r="V13" s="5">
        <f t="shared" si="1"/>
        <v>306637.3308</v>
      </c>
      <c r="W13" s="5">
        <f>ROUND(F13*$S$23*$T$1,2)</f>
        <v>7.42</v>
      </c>
    </row>
    <row r="14" spans="1:23">
      <c r="A14" s="5">
        <v>12</v>
      </c>
      <c r="B14" s="5" t="s">
        <v>89</v>
      </c>
      <c r="C14" s="5" t="s">
        <v>133</v>
      </c>
      <c r="D14" s="5" t="s">
        <v>155</v>
      </c>
      <c r="E14" s="5">
        <v>39</v>
      </c>
      <c r="F14" s="5">
        <v>35.200000000000003</v>
      </c>
      <c r="G14" s="5">
        <f t="shared" si="2"/>
        <v>1372.8</v>
      </c>
      <c r="H14" s="6">
        <v>0.01</v>
      </c>
      <c r="I14" s="6">
        <v>0.02</v>
      </c>
      <c r="J14" s="9">
        <v>2.5000000000000001E-2</v>
      </c>
      <c r="K14" s="5">
        <f t="shared" si="3"/>
        <v>1372.8</v>
      </c>
      <c r="L14" s="5">
        <f t="shared" si="4"/>
        <v>13.73</v>
      </c>
      <c r="M14" s="5">
        <f t="shared" si="5"/>
        <v>1359.07</v>
      </c>
      <c r="N14" s="5">
        <f t="shared" si="6"/>
        <v>27.18</v>
      </c>
      <c r="O14" s="5">
        <f t="shared" si="7"/>
        <v>1331.89</v>
      </c>
      <c r="P14" s="5">
        <f t="shared" si="8"/>
        <v>33.299999999999997</v>
      </c>
      <c r="Q14" s="5">
        <f t="shared" si="9"/>
        <v>74.209999999999994</v>
      </c>
      <c r="R14" s="5">
        <f t="shared" si="10"/>
        <v>1298.5899999999999</v>
      </c>
      <c r="S14" s="6">
        <v>0.18</v>
      </c>
      <c r="T14" s="5">
        <f t="shared" si="11"/>
        <v>233.75</v>
      </c>
      <c r="U14" s="5">
        <f t="shared" si="12"/>
        <v>1532.34</v>
      </c>
      <c r="V14" s="5">
        <f t="shared" si="1"/>
        <v>127061.63280000001</v>
      </c>
      <c r="W14" s="5">
        <f>ROUND(F14*$S$23*$T$1,2)</f>
        <v>2.92</v>
      </c>
    </row>
    <row r="15" spans="1:23">
      <c r="A15" s="5">
        <v>13</v>
      </c>
      <c r="B15" s="5" t="s">
        <v>91</v>
      </c>
      <c r="C15" s="5" t="s">
        <v>133</v>
      </c>
      <c r="D15" s="5" t="s">
        <v>155</v>
      </c>
      <c r="E15" s="5">
        <v>70</v>
      </c>
      <c r="F15" s="5">
        <v>102.25</v>
      </c>
      <c r="G15" s="5">
        <f t="shared" si="2"/>
        <v>7157.5</v>
      </c>
      <c r="H15" s="6">
        <v>0.01</v>
      </c>
      <c r="I15" s="6">
        <v>0.02</v>
      </c>
      <c r="J15" s="9">
        <v>2.5000000000000001E-2</v>
      </c>
      <c r="K15" s="5">
        <f t="shared" si="3"/>
        <v>7157.5</v>
      </c>
      <c r="L15" s="5">
        <f t="shared" si="4"/>
        <v>71.58</v>
      </c>
      <c r="M15" s="5">
        <f t="shared" si="5"/>
        <v>7085.92</v>
      </c>
      <c r="N15" s="5">
        <f t="shared" si="6"/>
        <v>141.72</v>
      </c>
      <c r="O15" s="5">
        <f t="shared" si="7"/>
        <v>6944.2</v>
      </c>
      <c r="P15" s="5">
        <f t="shared" si="8"/>
        <v>173.61</v>
      </c>
      <c r="Q15" s="5">
        <f t="shared" si="9"/>
        <v>386.91</v>
      </c>
      <c r="R15" s="5">
        <f t="shared" si="10"/>
        <v>6770.59</v>
      </c>
      <c r="S15" s="6">
        <v>0.18</v>
      </c>
      <c r="T15" s="5">
        <f t="shared" si="11"/>
        <v>1218.71</v>
      </c>
      <c r="U15" s="5">
        <f t="shared" si="12"/>
        <v>7989.3</v>
      </c>
      <c r="V15" s="5">
        <f t="shared" si="1"/>
        <v>662472.75600000005</v>
      </c>
      <c r="W15" s="5">
        <f>ROUND(F15*$S$23*$T$1,2)</f>
        <v>8.48</v>
      </c>
    </row>
    <row r="16" spans="1:23">
      <c r="A16" s="5">
        <v>14</v>
      </c>
      <c r="B16" s="5" t="s">
        <v>93</v>
      </c>
      <c r="C16" s="5" t="s">
        <v>133</v>
      </c>
      <c r="D16" s="5" t="s">
        <v>155</v>
      </c>
      <c r="E16" s="5">
        <v>100</v>
      </c>
      <c r="F16" s="5">
        <v>125.23</v>
      </c>
      <c r="G16" s="5">
        <f t="shared" si="2"/>
        <v>12523</v>
      </c>
      <c r="H16" s="6">
        <v>0.01</v>
      </c>
      <c r="I16" s="6">
        <v>0.02</v>
      </c>
      <c r="J16" s="9">
        <v>2.5000000000000001E-2</v>
      </c>
      <c r="K16" s="5">
        <f t="shared" si="3"/>
        <v>12523</v>
      </c>
      <c r="L16" s="5">
        <f t="shared" si="4"/>
        <v>125.23</v>
      </c>
      <c r="M16" s="5">
        <f t="shared" si="5"/>
        <v>12397.77</v>
      </c>
      <c r="N16" s="5">
        <f t="shared" si="6"/>
        <v>247.96</v>
      </c>
      <c r="O16" s="5">
        <f t="shared" si="7"/>
        <v>12149.81</v>
      </c>
      <c r="P16" s="5">
        <f t="shared" si="8"/>
        <v>303.75</v>
      </c>
      <c r="Q16" s="5">
        <f t="shared" si="9"/>
        <v>676.94</v>
      </c>
      <c r="R16" s="5">
        <f t="shared" si="10"/>
        <v>11846.06</v>
      </c>
      <c r="S16" s="6">
        <v>0.18</v>
      </c>
      <c r="T16" s="5">
        <f t="shared" si="11"/>
        <v>2132.29</v>
      </c>
      <c r="U16" s="5">
        <f t="shared" si="12"/>
        <v>13978.35</v>
      </c>
      <c r="V16" s="5">
        <f t="shared" si="1"/>
        <v>1159084.7819999999</v>
      </c>
      <c r="W16" s="5">
        <f>ROUND(F16*$S$23*$T$1,2)</f>
        <v>10.38</v>
      </c>
    </row>
    <row r="17" spans="1:23">
      <c r="A17" s="5">
        <v>15</v>
      </c>
      <c r="B17" s="5" t="s">
        <v>95</v>
      </c>
      <c r="C17" s="5" t="s">
        <v>133</v>
      </c>
      <c r="D17" s="5" t="s">
        <v>155</v>
      </c>
      <c r="E17" s="5">
        <v>85</v>
      </c>
      <c r="F17" s="5">
        <v>65.48</v>
      </c>
      <c r="G17" s="5">
        <f t="shared" si="2"/>
        <v>5565.8</v>
      </c>
      <c r="H17" s="6">
        <v>0.01</v>
      </c>
      <c r="I17" s="6">
        <v>0.02</v>
      </c>
      <c r="J17" s="9">
        <v>2.5000000000000001E-2</v>
      </c>
      <c r="K17" s="5">
        <f t="shared" si="3"/>
        <v>5565.8</v>
      </c>
      <c r="L17" s="5">
        <f t="shared" si="4"/>
        <v>55.66</v>
      </c>
      <c r="M17" s="5">
        <f t="shared" si="5"/>
        <v>5510.14</v>
      </c>
      <c r="N17" s="5">
        <f t="shared" si="6"/>
        <v>110.2</v>
      </c>
      <c r="O17" s="5">
        <f t="shared" si="7"/>
        <v>5399.94</v>
      </c>
      <c r="P17" s="5">
        <f t="shared" si="8"/>
        <v>135</v>
      </c>
      <c r="Q17" s="5">
        <f t="shared" si="9"/>
        <v>300.86</v>
      </c>
      <c r="R17" s="5">
        <f t="shared" si="10"/>
        <v>5264.94</v>
      </c>
      <c r="S17" s="6">
        <v>0.18</v>
      </c>
      <c r="T17" s="5">
        <f t="shared" si="11"/>
        <v>947.69</v>
      </c>
      <c r="U17" s="5">
        <f t="shared" si="12"/>
        <v>6212.63</v>
      </c>
      <c r="V17" s="5">
        <f t="shared" si="1"/>
        <v>515151.27960000001</v>
      </c>
      <c r="W17" s="5">
        <f>ROUND(F17*$S$23*$T$1,2)</f>
        <v>5.43</v>
      </c>
    </row>
    <row r="18" spans="1:23">
      <c r="B18" s="81" t="s">
        <v>14</v>
      </c>
      <c r="C18" s="81"/>
      <c r="D18" s="81"/>
      <c r="E18" s="81"/>
      <c r="F18" s="81"/>
      <c r="G18" s="7">
        <f>SUM(G3:G17)</f>
        <v>71570.81</v>
      </c>
      <c r="H18" s="5"/>
      <c r="I18" s="5"/>
      <c r="J18" s="5"/>
      <c r="K18" s="5"/>
      <c r="L18" s="5"/>
      <c r="M18" s="5"/>
      <c r="N18" s="5"/>
      <c r="O18" s="5"/>
      <c r="P18" s="5"/>
      <c r="Q18" s="7">
        <f>SUM(Q3:Q17)</f>
        <v>3868.82</v>
      </c>
      <c r="R18" s="7">
        <f>SUM(R3:R17)</f>
        <v>67701.990000000005</v>
      </c>
      <c r="S18" s="7"/>
      <c r="T18" s="7">
        <f>SUM(T3:T17)</f>
        <v>12186.37</v>
      </c>
      <c r="U18" s="18">
        <f t="shared" ref="U18:W18" si="13">SUM(U3:U17)</f>
        <v>79888.36</v>
      </c>
      <c r="V18" s="18">
        <f t="shared" si="13"/>
        <v>6624342.8112000003</v>
      </c>
      <c r="W18" s="18">
        <f t="shared" si="13"/>
        <v>199005.74</v>
      </c>
    </row>
    <row r="20" spans="1:23" ht="15.75" customHeight="1">
      <c r="F20" s="95" t="s">
        <v>176</v>
      </c>
      <c r="G20" s="95"/>
      <c r="H20" s="95"/>
      <c r="I20" s="95"/>
      <c r="K20" s="95" t="s">
        <v>177</v>
      </c>
      <c r="L20" s="95"/>
      <c r="M20" s="95"/>
      <c r="N20" s="95"/>
      <c r="Q20" s="91" t="s">
        <v>165</v>
      </c>
      <c r="R20" s="92"/>
      <c r="S20" s="92"/>
      <c r="T20" s="93"/>
    </row>
    <row r="21" spans="1:23" ht="15.75" customHeight="1">
      <c r="F21" s="88" t="s">
        <v>164</v>
      </c>
      <c r="G21" s="89"/>
      <c r="H21" s="96">
        <f>G18</f>
        <v>71570.81</v>
      </c>
      <c r="I21" s="96"/>
      <c r="J21" s="10"/>
      <c r="K21" s="88" t="s">
        <v>164</v>
      </c>
      <c r="L21" s="89"/>
      <c r="M21" s="96">
        <f>H21*$T$1</f>
        <v>5934651.5652000001</v>
      </c>
      <c r="N21" s="96"/>
      <c r="Q21" s="19">
        <v>1</v>
      </c>
      <c r="R21" s="19" t="s">
        <v>12</v>
      </c>
      <c r="S21" s="19">
        <v>2</v>
      </c>
      <c r="T21" s="19" t="s">
        <v>133</v>
      </c>
      <c r="V21" s="20"/>
    </row>
    <row r="22" spans="1:23">
      <c r="F22" s="88" t="s">
        <v>166</v>
      </c>
      <c r="G22" s="89"/>
      <c r="H22" s="96">
        <f>Q18</f>
        <v>3868.82</v>
      </c>
      <c r="I22" s="96"/>
      <c r="K22" s="88" t="s">
        <v>166</v>
      </c>
      <c r="L22" s="89"/>
      <c r="M22" s="96">
        <f t="shared" ref="M22:M25" si="14">H22*$T$1</f>
        <v>320802.55440000002</v>
      </c>
      <c r="N22" s="96"/>
      <c r="Q22" s="5">
        <v>1</v>
      </c>
      <c r="R22" s="5" t="s">
        <v>12</v>
      </c>
      <c r="S22" s="5">
        <v>2.5</v>
      </c>
      <c r="T22" s="5" t="s">
        <v>146</v>
      </c>
      <c r="V22" s="20"/>
    </row>
    <row r="23" spans="1:23">
      <c r="F23" s="88" t="s">
        <v>167</v>
      </c>
      <c r="G23" s="89"/>
      <c r="H23" s="96">
        <f>R18</f>
        <v>67701.990000000005</v>
      </c>
      <c r="I23" s="96"/>
      <c r="K23" s="88" t="s">
        <v>167</v>
      </c>
      <c r="L23" s="89"/>
      <c r="M23" s="96">
        <f t="shared" si="14"/>
        <v>5613849.0108000003</v>
      </c>
      <c r="N23" s="96"/>
      <c r="Q23" s="5">
        <v>1</v>
      </c>
      <c r="R23" s="5" t="s">
        <v>133</v>
      </c>
      <c r="S23" s="5">
        <v>1E-3</v>
      </c>
      <c r="T23" s="5" t="s">
        <v>155</v>
      </c>
      <c r="V23" s="20"/>
    </row>
    <row r="24" spans="1:23">
      <c r="F24" s="88" t="s">
        <v>168</v>
      </c>
      <c r="G24" s="89"/>
      <c r="H24" s="96">
        <f>T18</f>
        <v>12186.37</v>
      </c>
      <c r="I24" s="96"/>
      <c r="K24" s="88" t="s">
        <v>168</v>
      </c>
      <c r="L24" s="89"/>
      <c r="M24" s="96">
        <f t="shared" si="14"/>
        <v>1010493.8003999999</v>
      </c>
      <c r="N24" s="96"/>
      <c r="V24" s="20"/>
    </row>
    <row r="25" spans="1:23">
      <c r="F25" s="88" t="s">
        <v>169</v>
      </c>
      <c r="G25" s="89"/>
      <c r="H25" s="97">
        <f>H23+H24</f>
        <v>79888.36</v>
      </c>
      <c r="I25" s="97"/>
      <c r="K25" s="88" t="s">
        <v>169</v>
      </c>
      <c r="L25" s="89"/>
      <c r="M25" s="97">
        <f t="shared" si="14"/>
        <v>6624342.8112000003</v>
      </c>
      <c r="N25" s="97"/>
      <c r="V25" s="20"/>
    </row>
  </sheetData>
  <mergeCells count="25">
    <mergeCell ref="F25:G25"/>
    <mergeCell ref="H25:I25"/>
    <mergeCell ref="K25:L25"/>
    <mergeCell ref="M25:N25"/>
    <mergeCell ref="F23:G23"/>
    <mergeCell ref="H23:I23"/>
    <mergeCell ref="K23:L23"/>
    <mergeCell ref="M23:N23"/>
    <mergeCell ref="F24:G24"/>
    <mergeCell ref="H24:I24"/>
    <mergeCell ref="K24:L24"/>
    <mergeCell ref="M24:N24"/>
    <mergeCell ref="F21:G21"/>
    <mergeCell ref="H21:I21"/>
    <mergeCell ref="K21:L21"/>
    <mergeCell ref="M21:N21"/>
    <mergeCell ref="F22:G22"/>
    <mergeCell ref="H22:I22"/>
    <mergeCell ref="K22:L22"/>
    <mergeCell ref="M22:N22"/>
    <mergeCell ref="A1:P1"/>
    <mergeCell ref="B18:F18"/>
    <mergeCell ref="F20:I20"/>
    <mergeCell ref="K20:N20"/>
    <mergeCell ref="Q20:T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POASimilarItemImport</vt:lpstr>
      <vt:lpstr>POADissimilarItemImport</vt:lpstr>
      <vt:lpstr>POADissimilarItem</vt:lpstr>
      <vt:lpstr>POADissimilarItemPRTOPOImport</vt:lpstr>
      <vt:lpstr>POADissimilarItemPRTOPO</vt:lpstr>
      <vt:lpstr>PRDissimilarItem</vt:lpstr>
      <vt:lpstr>POASimilarItem</vt:lpstr>
      <vt:lpstr>POAServiceItem</vt:lpstr>
      <vt:lpstr>POAServiceItemPRTOPO</vt:lpstr>
      <vt:lpstr>PRSimilarItem</vt:lpstr>
      <vt:lpstr>POAServiceItemPRTOPOImport</vt:lpstr>
      <vt:lpstr>POASimilarItemPRTOPOImport</vt:lpstr>
      <vt:lpstr>POASimilarItemPRTOPO</vt:lpstr>
      <vt:lpstr>PRSimilarItemImport</vt:lpstr>
      <vt:lpstr>PRDissimilarItemImport</vt:lpstr>
      <vt:lpstr>PRServiceItem</vt:lpstr>
      <vt:lpstr>PRServiceItemImport</vt:lpstr>
      <vt:lpstr>POSimilarItem</vt:lpstr>
      <vt:lpstr>POServiceItem</vt:lpstr>
      <vt:lpstr>POSimilarItemImport</vt:lpstr>
      <vt:lpstr>PODissimilarItem</vt:lpstr>
      <vt:lpstr>PODissimilarItemImport</vt:lpstr>
      <vt:lpstr>POServiceItemImport</vt:lpstr>
      <vt:lpstr>Case 1</vt:lpstr>
      <vt:lpstr>Case 1 (2)</vt:lpstr>
      <vt:lpstr>Case 2</vt:lpstr>
      <vt:lpstr>Case 3</vt:lpstr>
      <vt:lpstr>Case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</dc:creator>
  <cp:lastModifiedBy>RMSYS</cp:lastModifiedBy>
  <dcterms:created xsi:type="dcterms:W3CDTF">2024-02-02T08:07:00Z</dcterms:created>
  <dcterms:modified xsi:type="dcterms:W3CDTF">2025-04-09T10:36:58Z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1033-12.2.0.20782</vt:lpwstr>
  </property>
  <property fmtid="{D5CDD505-2E9C-101B-9397-08002B2CF9AE}" pid="3" name="ICV">
    <vt:lpwstr>1661235255FC4603A95E3E16882D5406_12</vt:lpwstr>
  </property>
</Properties>
</file>