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firstSheet="87" activeTab="87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<sst xmlns="http://schemas.openxmlformats.org/spreadsheetml/2006/main" count="22409" uniqueCount="196">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</sst>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2" xfId="0" applyNumberFormat="1" applyFont="1" applyBorder="1" applyAlignment="1">
      <alignment wrapText="1"/>
    </xf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1"/>
      <c r="C6" s="111"/>
      <c r="D6" s="111"/>
      <c r="E6" s="111"/>
      <c r="F6" s="111"/>
      <c r="G6" s="111"/>
      <c r="H6" s="112"/>
      <c r="I6" s="30"/>
      <c r="J6" s="30"/>
      <c r="K6" s="30"/>
      <c r="L6" s="30"/>
      <c r="M6" s="30"/>
      <c r="N6" s="30"/>
      <c r="O6" s="30"/>
      <c r="P6" s="30"/>
      <c r="Q6" s="30"/>
      <c r="R6" s="113"/>
      <c r="S6" s="113"/>
      <c r="T6" s="113"/>
      <c r="U6" s="113"/>
      <c r="V6" s="114"/>
      <c r="W6" s="114"/>
      <c r="X6" s="114"/>
      <c r="Y6" s="113"/>
      <c r="Z6" s="115"/>
      <c r="AA6" s="116"/>
      <c r="AB6" s="116"/>
      <c r="AC6" s="115"/>
      <c r="AD6" s="116"/>
      <c r="AE6" s="116"/>
      <c r="AF6" s="116"/>
      <c r="AG6" s="116"/>
      <c r="AH6" s="116"/>
      <c r="AI6" s="115"/>
      <c r="AJ6" s="115"/>
      <c r="AK6" s="115"/>
      <c r="AL6" s="115"/>
      <c r="AM6" s="115"/>
      <c r="AN6" s="115"/>
      <c r="AO6" s="115"/>
    </row>
    <row r="7" spans="2:41">
      <c r="B7" s="111"/>
      <c r="C7" s="111"/>
      <c r="D7" s="111"/>
      <c r="E7" s="111"/>
      <c r="F7" s="111"/>
      <c r="G7" s="111"/>
      <c r="H7" s="112"/>
      <c r="I7" s="30"/>
      <c r="J7" s="30"/>
      <c r="K7" s="30"/>
      <c r="L7" s="30"/>
      <c r="M7" s="30"/>
      <c r="N7" s="30"/>
      <c r="O7" s="30"/>
      <c r="P7" s="30"/>
      <c r="Q7" s="30"/>
      <c r="R7" s="113"/>
      <c r="S7" s="113"/>
      <c r="T7" s="113"/>
      <c r="U7" s="113"/>
      <c r="V7" s="114"/>
      <c r="W7" s="114"/>
      <c r="X7" s="114"/>
      <c r="Y7" s="113"/>
      <c r="Z7" s="115"/>
      <c r="AA7" s="116"/>
      <c r="AB7" s="116"/>
      <c r="AC7" s="115"/>
      <c r="AD7" s="116"/>
      <c r="AE7" s="116"/>
      <c r="AF7" s="116"/>
      <c r="AG7" s="116"/>
      <c r="AH7" s="116"/>
      <c r="AI7" s="115"/>
      <c r="AJ7" s="115"/>
      <c r="AK7" s="115"/>
      <c r="AL7" s="115"/>
      <c r="AM7" s="115"/>
      <c r="AN7" s="115"/>
      <c r="AO7" s="115"/>
    </row>
    <row r="8" spans="2:41">
      <c r="B8" s="111"/>
      <c r="C8" s="111"/>
      <c r="D8" s="111"/>
      <c r="E8" s="111"/>
      <c r="F8" s="111"/>
      <c r="G8" s="111"/>
      <c r="H8" s="112"/>
      <c r="I8" s="30"/>
      <c r="J8" s="30"/>
      <c r="K8" s="30"/>
      <c r="L8" s="30"/>
      <c r="M8" s="30"/>
      <c r="N8" s="30"/>
      <c r="O8" s="30"/>
      <c r="P8" s="30"/>
      <c r="Q8" s="30"/>
      <c r="R8" s="113"/>
      <c r="S8" s="113"/>
      <c r="T8" s="113"/>
      <c r="U8" s="113"/>
      <c r="V8" s="114"/>
      <c r="W8" s="114"/>
      <c r="X8" s="114"/>
      <c r="Y8" s="113"/>
      <c r="Z8" s="115"/>
      <c r="AA8" s="116"/>
      <c r="AB8" s="116"/>
      <c r="AC8" s="115"/>
      <c r="AD8" s="116"/>
      <c r="AE8" s="116"/>
      <c r="AF8" s="116"/>
      <c r="AG8" s="116"/>
      <c r="AH8" s="116"/>
      <c r="AI8" s="115"/>
      <c r="AJ8" s="115"/>
      <c r="AK8" s="115"/>
      <c r="AL8" s="115"/>
      <c r="AM8" s="115"/>
      <c r="AN8" s="115"/>
      <c r="AO8" s="115"/>
    </row>
    <row r="9" spans="2:41">
      <c r="B9" s="111"/>
      <c r="C9" s="111"/>
      <c r="D9" s="111"/>
      <c r="E9" s="111"/>
      <c r="F9" s="111"/>
      <c r="G9" s="111"/>
      <c r="H9" s="112"/>
      <c r="I9" s="30"/>
      <c r="J9" s="30"/>
      <c r="K9" s="30"/>
      <c r="L9" s="30"/>
      <c r="M9" s="30"/>
      <c r="N9" s="30"/>
      <c r="O9" s="30"/>
      <c r="P9" s="30"/>
      <c r="Q9" s="30"/>
      <c r="R9" s="113"/>
      <c r="S9" s="113"/>
      <c r="T9" s="113"/>
      <c r="U9" s="113"/>
      <c r="V9" s="114"/>
      <c r="W9" s="114"/>
      <c r="X9" s="114"/>
      <c r="Y9" s="113"/>
      <c r="Z9" s="115"/>
      <c r="AA9" s="116"/>
      <c r="AB9" s="116"/>
      <c r="AC9" s="115"/>
      <c r="AD9" s="116"/>
      <c r="AE9" s="116"/>
      <c r="AF9" s="116"/>
      <c r="AG9" s="116"/>
      <c r="AH9" s="116"/>
      <c r="AI9" s="115"/>
      <c r="AJ9" s="115"/>
      <c r="AK9" s="115"/>
      <c r="AL9" s="115"/>
      <c r="AM9" s="115"/>
      <c r="AN9" s="115"/>
      <c r="AO9" s="115"/>
    </row>
    <row r="10" spans="2:41">
      <c r="B10" s="111"/>
      <c r="C10" s="111"/>
      <c r="D10" s="111"/>
      <c r="E10" s="111"/>
      <c r="F10" s="111"/>
      <c r="G10" s="111"/>
      <c r="H10" s="112"/>
      <c r="I10" s="30"/>
      <c r="J10" s="30"/>
      <c r="K10" s="30"/>
      <c r="L10" s="30"/>
      <c r="M10" s="30"/>
      <c r="N10" s="30"/>
      <c r="O10" s="30"/>
      <c r="P10" s="30"/>
      <c r="Q10" s="30"/>
      <c r="R10" s="113"/>
      <c r="S10" s="113"/>
      <c r="T10" s="113"/>
      <c r="U10" s="113"/>
      <c r="V10" s="114"/>
      <c r="W10" s="114"/>
      <c r="X10" s="114"/>
      <c r="Y10" s="113"/>
      <c r="Z10" s="115"/>
      <c r="AA10" s="116"/>
      <c r="AB10" s="116"/>
      <c r="AC10" s="115"/>
      <c r="AD10" s="116"/>
      <c r="AE10" s="116"/>
      <c r="AF10" s="116"/>
      <c r="AG10" s="116"/>
      <c r="AH10" s="116"/>
      <c r="AI10" s="115"/>
      <c r="AJ10" s="115"/>
      <c r="AK10" s="115"/>
      <c r="AL10" s="115"/>
      <c r="AM10" s="115"/>
      <c r="AN10" s="115"/>
      <c r="AO10" s="115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M1" workbookViewId="0">
      <selection activeCell="U14" sqref="U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18</v>
      </c>
      <c r="V10" s="87">
        <f>IF($C$2=1,ROUND(((S10*(U10/100))/2),2),0)</f>
        <v>85.9</v>
      </c>
      <c r="W10" s="87">
        <f>IF($C$2=1,ROUND(((S10*(U10/100))/2),2),0)</f>
        <v>85.9</v>
      </c>
      <c r="X10" s="87">
        <f>IF($C$2=2,ROUND(((S10*U10)),2),0)</f>
        <v>0</v>
      </c>
      <c r="Y10" s="87">
        <f>V10+W10+X10</f>
        <v>171.8</v>
      </c>
      <c r="Z10" s="33">
        <f>S10+Y10</f>
        <v>1126.21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85.9</v>
      </c>
      <c r="W11" s="62">
        <f t="shared" si="2"/>
        <v>85.9</v>
      </c>
      <c r="X11" s="62">
        <f t="shared" si="2"/>
        <v>0</v>
      </c>
      <c r="Y11" s="62">
        <f t="shared" si="2"/>
        <v>171.8</v>
      </c>
      <c r="Z11" s="84">
        <f t="shared" si="2"/>
        <v>1126.21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22" sqref="U22:U23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L1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109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J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L1" workbookViewId="0">
      <selection activeCell="P8" sqref="P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18</v>
      </c>
      <c r="V11" s="87">
        <f>IF($C$2=1,ROUND(((S11*(U11/100))/2),2),0)</f>
        <v>85.9</v>
      </c>
      <c r="W11" s="87">
        <f>IF($C$2=1,ROUND(((S11*(U11/100))/2),2),0)</f>
        <v>85.9</v>
      </c>
      <c r="X11" s="87">
        <f>IF($C$2=2,ROUND(((S11*U11)),2),0)</f>
        <v>0</v>
      </c>
      <c r="Y11" s="87">
        <f>V11+W11+X11</f>
        <v>171.8</v>
      </c>
      <c r="Z11" s="33">
        <f>S11+Y11</f>
        <v>1126.21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141.96</v>
      </c>
      <c r="W12" s="62">
        <f t="shared" si="2"/>
        <v>141.96</v>
      </c>
      <c r="X12" s="62">
        <f t="shared" si="2"/>
        <v>0</v>
      </c>
      <c r="Y12" s="62">
        <f t="shared" si="2"/>
        <v>283.92</v>
      </c>
      <c r="Z12" s="84">
        <f t="shared" si="2"/>
        <v>1861.2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18</v>
      </c>
      <c r="V16" s="87">
        <f>IF($C$2=1,ROUND(((S16*(U16/100))/2),2),0)</f>
        <v>56.06</v>
      </c>
      <c r="W16" s="87">
        <f>IF($C$2=1,ROUND(((S16*(U16/100))/2),2),0)</f>
        <v>56.06</v>
      </c>
      <c r="X16" s="87">
        <f>IF($C$2=2,ROUND(((S16*U16)),2),0)</f>
        <v>0</v>
      </c>
      <c r="Y16" s="87">
        <f>V16+W16+X16</f>
        <v>112.12</v>
      </c>
      <c r="Z16" s="33">
        <f>S16+Y16</f>
        <v>734.99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18</v>
      </c>
      <c r="V17" s="87">
        <f>IF($C$2=1,ROUND(((S17*(U17/100))/2),2),0)</f>
        <v>85.9</v>
      </c>
      <c r="W17" s="87">
        <f>IF($C$2=1,ROUND(((S17*(U17/100))/2),2),0)</f>
        <v>85.9</v>
      </c>
      <c r="X17" s="87">
        <f>IF($C$2=2,ROUND(((S17*U17)),2),0)</f>
        <v>0</v>
      </c>
      <c r="Y17" s="87">
        <f>V17+W17+X17</f>
        <v>171.8</v>
      </c>
      <c r="Z17" s="33">
        <f>S17+Y17</f>
        <v>1126.21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141.96</v>
      </c>
      <c r="W18" s="62">
        <f t="shared" si="5"/>
        <v>141.96</v>
      </c>
      <c r="X18" s="62">
        <f t="shared" si="5"/>
        <v>0</v>
      </c>
      <c r="Y18" s="9">
        <f t="shared" si="5"/>
        <v>283.92</v>
      </c>
      <c r="Z18" s="25">
        <f t="shared" si="5"/>
        <v>1861.2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1" workbookViewId="0">
      <selection activeCell="U24" sqref="U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84.66</v>
      </c>
      <c r="W24" s="62">
        <f t="shared" si="3"/>
        <v>84.66</v>
      </c>
      <c r="X24" s="62">
        <f t="shared" si="3"/>
        <v>0</v>
      </c>
      <c r="Y24" s="9">
        <f t="shared" si="3"/>
        <v>169.32</v>
      </c>
      <c r="Z24" s="25">
        <f t="shared" si="3"/>
        <v>1109.93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6" workbookViewId="0">
      <selection activeCell="H28" sqref="H2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3</v>
      </c>
      <c r="AJ16" s="33">
        <f>F16/AI16</f>
        <v>1.66666666666667</v>
      </c>
      <c r="AK16" s="33">
        <f>AF16/AJ16</f>
        <v>265.392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D2" workbookViewId="0">
      <selection activeCell="M6" sqref="M6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3</v>
      </c>
      <c r="AJ16" s="33">
        <f>F16/AI16</f>
        <v>1.66666666666667</v>
      </c>
      <c r="AK16" s="33">
        <f>AF16/AJ16</f>
        <v>265.392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33">
        <f>IF($C$8,ROUND(((S10*(U10/100))/2),2),0)</f>
        <v>56.06</v>
      </c>
      <c r="X10" s="33">
        <f>IF($C$8=2,ROUND(((S10*U10)),2),0)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33">
        <f>IF($C$14=1,ROUND(((S11*(U11/100))/2),2),0)</f>
        <v>92.6</v>
      </c>
      <c r="X11" s="33">
        <f>IF($C$14=2,ROUND(((S11*U11)),2),0)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148.66</v>
      </c>
      <c r="W12" s="62">
        <f>SUM(W10:W11)</f>
        <v>148.66</v>
      </c>
      <c r="X12" s="62">
        <f t="shared" ref="X12:AB12" si="0">SUM(X10:X10)</f>
        <v>0</v>
      </c>
      <c r="Y12" s="62">
        <f>SUM(Y10:Y11)</f>
        <v>297.32</v>
      </c>
      <c r="Z12" s="84">
        <f>SUM(Z10:Z11)</f>
        <v>1949.1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33">
        <f>IF($C$14=1,ROUND(((S16*(U16/100))/2),2),0)</f>
        <v>92.6</v>
      </c>
      <c r="X16" s="33">
        <f>IF($C$14=2,ROUND(((S16*U16)),2),0)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92.6</v>
      </c>
      <c r="W17" s="62">
        <f t="shared" si="1"/>
        <v>92.6</v>
      </c>
      <c r="X17" s="62">
        <f t="shared" si="1"/>
        <v>0</v>
      </c>
      <c r="Y17" s="9">
        <f t="shared" si="1"/>
        <v>185.2</v>
      </c>
      <c r="Z17" s="25">
        <f t="shared" si="1"/>
        <v>1214.05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33">
        <f>IF($C$8,ROUND(((S21*(U21/100))/2),2),0)</f>
        <v>56.06</v>
      </c>
      <c r="X21" s="33">
        <f>IF($C$8=2,ROUND(((S21*U21)),2),0)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33">
        <f>IF($C$14=1,ROUND(((S22*(U22/100))/2),2),0)</f>
        <v>92.6</v>
      </c>
      <c r="X22" s="33">
        <f>IF($C$14=2,ROUND(((S22*U22)),2),0)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148.66</v>
      </c>
      <c r="W23" s="62">
        <f t="shared" si="2"/>
        <v>148.66</v>
      </c>
      <c r="X23" s="62">
        <f t="shared" si="2"/>
        <v>0</v>
      </c>
      <c r="Y23" s="9">
        <f t="shared" si="2"/>
        <v>297.32</v>
      </c>
      <c r="Z23" s="25">
        <f t="shared" si="2"/>
        <v>1949.1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abSelected="1" topLeftCell="J1" workbookViewId="0">
      <selection activeCell="U20" sqref="U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87">
        <f>IF($C$8=1,ROUND(((S10*(U10/100))/2),2),0)</f>
        <v>56.06</v>
      </c>
      <c r="X10" s="33">
        <f>IF($C$8=2,ROUND(((S10*U10)/100),2),0)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87">
        <f>IF($C$14=1,ROUND(((S11*(U11/100))/2),2),0)</f>
        <v>92.6</v>
      </c>
      <c r="X11" s="33">
        <f>IF($C$14=2,ROUND(((S11*U11)/100),2),0)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148.66</v>
      </c>
      <c r="W12" s="62">
        <f t="shared" si="0"/>
        <v>148.66</v>
      </c>
      <c r="X12" s="62">
        <f t="shared" ref="X12:AB12" si="1">SUM(X10:X10)</f>
        <v>0</v>
      </c>
      <c r="Y12" s="62">
        <f>SUM(Y10:Y11)</f>
        <v>297.32</v>
      </c>
      <c r="Z12" s="84">
        <f>SUM(Z10:Z11)</f>
        <v>1949.1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87">
        <f>IF($C$14=1,ROUND(((S16*(U16/100))/2),2),0)</f>
        <v>92.6</v>
      </c>
      <c r="X16" s="33">
        <f>IF($C$14=2,ROUND(((S16*U16)/100),2),0)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92.6</v>
      </c>
      <c r="W17" s="62">
        <f t="shared" si="3"/>
        <v>92.6</v>
      </c>
      <c r="X17" s="62">
        <f t="shared" si="3"/>
        <v>0</v>
      </c>
      <c r="Y17" s="9">
        <f t="shared" si="3"/>
        <v>185.2</v>
      </c>
      <c r="Z17" s="25">
        <f t="shared" si="3"/>
        <v>1214.05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87">
        <f>IF($C$8=1,ROUND(((S21*(U21/100))/2),2),0)</f>
        <v>56.06</v>
      </c>
      <c r="X21" s="33">
        <f>IF($C$8=2,ROUND(((S21*U21)/100),2),0)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87">
        <f>IF($C$14=1,ROUND(((S22*(U22/100))/2),2),0)</f>
        <v>92.6</v>
      </c>
      <c r="X22" s="33">
        <f>IF($C$14=2,ROUND(((S22*U22)/100),2),0)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148.66</v>
      </c>
      <c r="W23" s="62">
        <f t="shared" si="6"/>
        <v>148.66</v>
      </c>
      <c r="X23" s="62">
        <f t="shared" si="6"/>
        <v>0</v>
      </c>
      <c r="Y23" s="9">
        <f t="shared" si="6"/>
        <v>297.32</v>
      </c>
      <c r="Z23" s="25">
        <f t="shared" si="6"/>
        <v>1949.1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U1" workbookViewId="0">
      <selection activeCell="AA8" sqref="AA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1028.91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1651.78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1028.91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1651.78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A3" workbookViewId="0">
      <selection activeCell="G8" sqref="G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33">
        <f>IF($C$7=1,ROUND(((S9*(U9/100))/2),2),0)</f>
        <v>56.06</v>
      </c>
      <c r="X9" s="33">
        <f>IF($C$7=2,ROUND(((S9*U9)/100),2),0)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33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108</v>
      </c>
      <c r="W15" s="62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33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33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164.06</v>
      </c>
      <c r="W21" s="62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N1" workbookViewId="0">
      <selection activeCell="U22" sqref="U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190.6</v>
      </c>
      <c r="W23" s="62">
        <f t="shared" si="2"/>
        <v>190.6</v>
      </c>
      <c r="X23" s="62">
        <f t="shared" si="2"/>
        <v>0</v>
      </c>
      <c r="Y23" s="9">
        <f t="shared" si="2"/>
        <v>381.2</v>
      </c>
      <c r="Z23" s="25">
        <f t="shared" si="2"/>
        <v>2498.96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M1" workbookViewId="0">
      <selection activeCell="V20" sqref="V20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IF($C$14=2,ROUND(((S16*U16)/100),2),0)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IF($C$8=2,ROUND(((S21*U21)/100),2),0)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IF($C$14=2,ROUND(((S22*U22)/100),2),0)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190.6</v>
      </c>
      <c r="W23" s="62">
        <f t="shared" si="3"/>
        <v>190.6</v>
      </c>
      <c r="X23" s="62">
        <f t="shared" si="3"/>
        <v>0</v>
      </c>
      <c r="Y23" s="9">
        <f t="shared" si="3"/>
        <v>381.2</v>
      </c>
      <c r="Z23" s="25">
        <f t="shared" si="3"/>
        <v>2498.96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6" workbookViewId="0">
      <selection activeCell="U23" sqref="U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B9" sqref="B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87">
        <f>IF($C$7=1,ROUND(((S9*(U9/100))/2),2),0)</f>
        <v>56.06</v>
      </c>
      <c r="X9" s="33">
        <f>IF($C$7=2,ROUND(((S9*(U9/100))),2),0)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56.06</v>
      </c>
      <c r="W10" s="89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87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108</v>
      </c>
      <c r="W15" s="89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87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87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164.06</v>
      </c>
      <c r="W21" s="89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U1" workbookViewId="0">
      <selection activeCell="Y10" sqref="Y10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/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D20" sqref="D2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0" sqref="F10:H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2025-11-21T15:46:37Z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1033-12.2.0.23155</vt:lpwstr>
  </property>
  <property fmtid="{D5CDD505-2E9C-101B-9397-08002B2CF9AE}" pid="3" name="ICV">
    <vt:lpwstr>1661235255FC4603A95E3E16882D5406_12</vt:lpwstr>
  </property>
</Properties>
</file>