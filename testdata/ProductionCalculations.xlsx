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/>
  </bookViews>
  <sheets>
    <sheet name="ProductionWithResources" sheetId="1" r:id="rId1"/>
    <sheet name="ProductionWithMultipleResour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<sst xmlns="http://schemas.openxmlformats.org/spreadsheetml/2006/main" count="61" uniqueCount="24">
  <si>
    <t>Machine Cost</t>
  </si>
  <si>
    <t>S. No.</t>
  </si>
  <si>
    <t>Process Name</t>
  </si>
  <si>
    <t>Machine</t>
  </si>
  <si>
    <t>Machine Desc</t>
  </si>
  <si>
    <t>Unit</t>
  </si>
  <si>
    <t>Unit Rate</t>
  </si>
  <si>
    <t>Line Amount</t>
  </si>
  <si>
    <t>Line Amount UC</t>
  </si>
  <si>
    <t>Employee</t>
  </si>
  <si>
    <t>Employee Name</t>
  </si>
  <si>
    <t>Qty Hrs</t>
  </si>
  <si>
    <t>Raw Material Cost</t>
  </si>
  <si>
    <t>RM UC</t>
  </si>
  <si>
    <t>Qty</t>
  </si>
  <si>
    <t>Total</t>
  </si>
  <si>
    <t>UnitCost</t>
  </si>
  <si>
    <t>GWLPROCESS-02</t>
  </si>
  <si>
    <t>GWLMACHINE</t>
  </si>
  <si>
    <t>GWL MACHINE 1</t>
  </si>
  <si>
    <t>TVS00355</t>
  </si>
  <si>
    <t>GWL MAN 1</t>
  </si>
  <si>
    <t>210.00</t>
  </si>
  <si>
    <t>GWLPROCESS-03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</si>
</sst>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00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/>
    <xf numFmtId="0" fontId="3" fillId="0" borderId="0" xfId="0" applyFont="1" applyFill="1" applyAlignment="1">
      <alignment horizontal="center"/>
    </xf>
    <xf numFmtId="0" fontId="3" fillId="0" borderId="0" xfId="0" applyFont="1" applyFill="1" applyAlignment="1"/>
    <xf numFmtId="0" fontId="0" fillId="0" borderId="0" xfId="0" applyAlignment="1">
      <alignment horizontal="left"/>
    </xf>
    <xf numFmtId="180" fontId="3" fillId="0" borderId="2" xfId="0" applyNumberFormat="1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selection activeCell="K8" sqref="K8"/>
    </sheetView>
  </sheetViews>
  <sheetFormatPr defaultColWidth="9" defaultRowHeight="14.4" outlineLevelRow="6"/>
  <cols>
    <col min="1" max="1" width="6.77777777777778" style="1" customWidth="1"/>
    <col min="2" max="2" width="15" style="1" customWidth="1"/>
    <col min="3" max="3" width="25.2222222222222" customWidth="1"/>
    <col min="4" max="4" width="29.2222222222222" customWidth="1"/>
    <col min="5" max="6" width="10.1111111111111" customWidth="1"/>
    <col min="7" max="7" width="13.4444444444444" customWidth="1"/>
    <col min="8" max="8" width="17" customWidth="1"/>
    <col min="9" max="9" width="13.4444444444444" customWidth="1"/>
    <col min="10" max="10" width="16.8888888888889" customWidth="1"/>
    <col min="11" max="13" width="13.4444444444444" customWidth="1"/>
    <col min="14" max="15" width="19.1111111111111" customWidth="1"/>
    <col min="16" max="16" width="7.77777777777778" customWidth="1"/>
    <col min="17" max="18" width="6.22222222222222" customWidth="1"/>
    <col min="19" max="19" width="12.8888888888889"/>
  </cols>
  <sheetData>
    <row r="1" ht="15.6" spans="1:13">
      <c r="A1" s="2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5.15" spans="1:19">
      <c r="A2" s="4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5" t="s">
        <v>7</v>
      </c>
      <c r="H2" s="4" t="s">
        <v>8</v>
      </c>
      <c r="I2" s="4" t="s">
        <v>9</v>
      </c>
      <c r="J2" s="5" t="s">
        <v>10</v>
      </c>
      <c r="K2" s="4" t="s">
        <v>11</v>
      </c>
      <c r="L2" s="4" t="s">
        <v>6</v>
      </c>
      <c r="M2" s="5" t="s">
        <v>7</v>
      </c>
      <c r="N2" s="5" t="s">
        <v>8</v>
      </c>
      <c r="O2" s="5" t="s">
        <v>12</v>
      </c>
      <c r="P2" s="4" t="s">
        <v>13</v>
      </c>
      <c r="Q2" s="4" t="s">
        <v>14</v>
      </c>
      <c r="R2" s="4" t="s">
        <v>15</v>
      </c>
      <c r="S2" s="4" t="s">
        <v>16</v>
      </c>
    </row>
    <row r="3" ht="15.15" spans="1:19">
      <c r="A3" s="6">
        <v>1</v>
      </c>
      <c r="B3" s="6" t="s">
        <v>17</v>
      </c>
      <c r="C3" s="7" t="s">
        <v>18</v>
      </c>
      <c r="D3" s="7" t="s">
        <v>19</v>
      </c>
      <c r="E3" s="7">
        <v>9.5</v>
      </c>
      <c r="F3" s="7">
        <v>42</v>
      </c>
      <c r="G3" s="7">
        <f>E3*F3</f>
        <v>399</v>
      </c>
      <c r="H3" s="7">
        <f>G3/Q3</f>
        <v>133</v>
      </c>
      <c r="I3" s="7" t="s">
        <v>20</v>
      </c>
      <c r="J3" s="7" t="s">
        <v>21</v>
      </c>
      <c r="K3" s="7">
        <v>9.5</v>
      </c>
      <c r="L3" s="7">
        <v>100</v>
      </c>
      <c r="M3" s="6">
        <f>K3*L3</f>
        <v>950</v>
      </c>
      <c r="N3" s="11">
        <f>M3/Q3</f>
        <v>316.666666666667</v>
      </c>
      <c r="O3" t="s">
        <v>22</v>
      </c>
      <c r="P3" s="7">
        <f>O3/Q3</f>
        <v>70</v>
      </c>
      <c r="Q3" s="7">
        <v>3</v>
      </c>
      <c r="R3" s="7">
        <f>(G3+O3+M3)</f>
        <v>1419</v>
      </c>
      <c r="S3" s="11">
        <f>H3+N3+P3</f>
        <v>519.666666666667</v>
      </c>
    </row>
    <row r="4" ht="15.15" spans="1:19">
      <c r="A4" s="6">
        <v>1</v>
      </c>
      <c r="B4" s="6" t="s">
        <v>23</v>
      </c>
      <c r="C4" s="7" t="s">
        <v>18</v>
      </c>
      <c r="D4" s="7" t="s">
        <v>19</v>
      </c>
      <c r="E4" s="7">
        <v>9.5</v>
      </c>
      <c r="F4" s="7">
        <v>42</v>
      </c>
      <c r="G4" s="7">
        <f>E4*F4</f>
        <v>399</v>
      </c>
      <c r="H4" s="7">
        <f>G4/Q4</f>
        <v>133</v>
      </c>
      <c r="I4" s="7" t="s">
        <v>20</v>
      </c>
      <c r="J4" s="7" t="s">
        <v>21</v>
      </c>
      <c r="K4" s="7">
        <v>9.5</v>
      </c>
      <c r="L4" s="7">
        <v>100</v>
      </c>
      <c r="M4" s="6">
        <f>K4*L4</f>
        <v>950</v>
      </c>
      <c r="N4" s="11">
        <f>M4/Q4</f>
        <v>316.666666666667</v>
      </c>
      <c r="O4" s="7">
        <v>140</v>
      </c>
      <c r="P4" s="7">
        <f>O4/Q4</f>
        <v>46.6666666666667</v>
      </c>
      <c r="Q4" s="7">
        <v>3</v>
      </c>
      <c r="R4" s="7">
        <f>(G4+O4+M4)</f>
        <v>1489</v>
      </c>
      <c r="S4" s="11">
        <f>H4+N4+P4</f>
        <v>496.333333333333</v>
      </c>
    </row>
    <row r="5" spans="1:13">
      <c r="A5" s="8"/>
      <c r="B5" s="8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3:3">
      <c r="C6" s="10"/>
    </row>
    <row r="7" spans="1:19">
      <c r="A7" s="1">
        <v>0</v>
      </c>
      <c r="B7" s="1">
        <v>1</v>
      </c>
      <c r="C7">
        <v>2</v>
      </c>
      <c r="D7">
        <v>3</v>
      </c>
      <c r="E7">
        <v>4</v>
      </c>
      <c r="F7">
        <v>5</v>
      </c>
      <c r="G7">
        <v>6</v>
      </c>
      <c r="H7">
        <v>7</v>
      </c>
      <c r="I7">
        <v>8</v>
      </c>
      <c r="J7">
        <v>9</v>
      </c>
      <c r="K7">
        <v>10</v>
      </c>
      <c r="L7">
        <v>11</v>
      </c>
      <c r="M7">
        <v>12</v>
      </c>
      <c r="N7">
        <v>13</v>
      </c>
      <c r="O7">
        <v>14</v>
      </c>
      <c r="P7">
        <v>15</v>
      </c>
      <c r="Q7">
        <v>16</v>
      </c>
      <c r="R7">
        <v>17</v>
      </c>
      <c r="S7">
        <v>18</v>
      </c>
    </row>
  </sheetData>
  <mergeCells count="1">
    <mergeCell ref="A1:G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workbookViewId="0">
      <selection activeCell="D14" sqref="D14"/>
    </sheetView>
  </sheetViews>
  <sheetFormatPr defaultColWidth="9" defaultRowHeight="14.4" outlineLevelRow="5"/>
  <cols>
    <col min="1" max="1" width="6.77777777777778" style="1" customWidth="1"/>
    <col min="2" max="2" width="15" style="1" customWidth="1"/>
    <col min="3" max="3" width="25.2222222222222" customWidth="1"/>
    <col min="4" max="4" width="29.2222222222222" customWidth="1"/>
    <col min="5" max="6" width="10.1111111111111" customWidth="1"/>
    <col min="7" max="7" width="13.4444444444444" customWidth="1"/>
    <col min="8" max="8" width="17" customWidth="1"/>
    <col min="9" max="9" width="13.4444444444444" customWidth="1"/>
    <col min="10" max="10" width="16.8888888888889" customWidth="1"/>
    <col min="11" max="13" width="13.4444444444444" customWidth="1"/>
    <col min="14" max="15" width="19.1111111111111" customWidth="1"/>
    <col min="16" max="16" width="7.77777777777778" customWidth="1"/>
    <col min="17" max="18" width="6.22222222222222" customWidth="1"/>
    <col min="19" max="19" width="12.8888888888889"/>
  </cols>
  <sheetData>
    <row r="1" ht="15.6" spans="1:13">
      <c r="A1" s="2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5.15" spans="1:19">
      <c r="A2" s="4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5" t="s">
        <v>7</v>
      </c>
      <c r="H2" s="4" t="s">
        <v>8</v>
      </c>
      <c r="I2" s="4" t="s">
        <v>9</v>
      </c>
      <c r="J2" s="5" t="s">
        <v>10</v>
      </c>
      <c r="K2" s="4" t="s">
        <v>11</v>
      </c>
      <c r="L2" s="4" t="s">
        <v>6</v>
      </c>
      <c r="M2" s="5" t="s">
        <v>7</v>
      </c>
      <c r="N2" s="5" t="s">
        <v>8</v>
      </c>
      <c r="O2" s="5" t="s">
        <v>12</v>
      </c>
      <c r="P2" s="4" t="s">
        <v>13</v>
      </c>
      <c r="Q2" s="4" t="s">
        <v>14</v>
      </c>
      <c r="R2" s="4" t="s">
        <v>15</v>
      </c>
      <c r="S2" s="4" t="s">
        <v>16</v>
      </c>
    </row>
    <row r="3" spans="1:19">
      <c r="A3" s="6">
        <v>1</v>
      </c>
      <c r="B3" s="6" t="s">
        <v>17</v>
      </c>
      <c r="C3" s="7" t="s">
        <v>18</v>
      </c>
      <c r="D3" s="7" t="s">
        <v>19</v>
      </c>
      <c r="E3" s="7">
        <v>9.5</v>
      </c>
      <c r="F3" s="7">
        <v>42</v>
      </c>
      <c r="G3" s="7">
        <f>E3*F3</f>
        <v>399</v>
      </c>
      <c r="H3" s="7">
        <f>G3/Q3</f>
        <v>133</v>
      </c>
      <c r="I3" s="7" t="s">
        <v>20</v>
      </c>
      <c r="J3" s="7" t="s">
        <v>21</v>
      </c>
      <c r="K3" s="7">
        <v>9.5</v>
      </c>
      <c r="L3" s="7">
        <v>100</v>
      </c>
      <c r="M3" s="6">
        <f>K3*L3</f>
        <v>950</v>
      </c>
      <c r="N3" s="11">
        <f>M3/Q3</f>
        <v>316.666666666667</v>
      </c>
      <c r="O3">
        <v>210</v>
      </c>
      <c r="P3" s="7">
        <f>O3/Q3</f>
        <v>70</v>
      </c>
      <c r="Q3" s="7">
        <v>3</v>
      </c>
      <c r="R3" s="7">
        <f>(G3+O3+M3)</f>
        <v>1559</v>
      </c>
      <c r="S3" s="11">
        <f>H3+N3+P3</f>
        <v>519.666666666667</v>
      </c>
    </row>
    <row r="4" ht="15.15" spans="1:19">
      <c r="A4" s="6">
        <v>1</v>
      </c>
      <c r="B4" s="6" t="s">
        <v>23</v>
      </c>
      <c r="C4" s="7" t="s">
        <v>18</v>
      </c>
      <c r="D4" s="7" t="s">
        <v>19</v>
      </c>
      <c r="E4" s="7">
        <v>9.5</v>
      </c>
      <c r="F4" s="7">
        <v>42</v>
      </c>
      <c r="G4" s="7">
        <f>E4*F4</f>
        <v>399</v>
      </c>
      <c r="H4" s="7">
        <f>G4/Q4</f>
        <v>133</v>
      </c>
      <c r="I4" s="7" t="s">
        <v>20</v>
      </c>
      <c r="J4" s="7" t="s">
        <v>21</v>
      </c>
      <c r="K4" s="7">
        <v>9.5</v>
      </c>
      <c r="L4" s="7">
        <v>100</v>
      </c>
      <c r="M4" s="6">
        <f>K4*L4</f>
        <v>950</v>
      </c>
      <c r="N4" s="11">
        <f>M4/Q4</f>
        <v>316.666666666667</v>
      </c>
      <c r="O4" s="7">
        <v>140</v>
      </c>
      <c r="P4" s="7">
        <f>O4/Q4</f>
        <v>46.6666666666667</v>
      </c>
      <c r="Q4" s="7">
        <v>3</v>
      </c>
      <c r="R4" s="7">
        <f>(G4+O4+M4)</f>
        <v>1489</v>
      </c>
      <c r="S4" s="11">
        <f>H4+N4+P4</f>
        <v>496.333333333333</v>
      </c>
    </row>
    <row r="5" spans="1:13">
      <c r="A5" s="8"/>
      <c r="B5" s="8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3:3">
      <c r="C6" s="10"/>
    </row>
  </sheetData>
  <mergeCells count="1">
    <mergeCell ref="A1:G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ProductionWithResources</vt:lpstr>
      <vt:lpstr>ProductionWithMultipleResources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Galaxy</cp:lastModifiedBy>
  <dcterms:created xsi:type="dcterms:W3CDTF">2025-06-24T14:43:00Z</dcterms:created>
  <dcterms:modified xsi:type="dcterms:W3CDTF">2025-07-24T09:54:39Z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961D070B9A494F02939BBBAE1D6C425F_12</vt:lpwstr>
  </property>
  <property fmtid="{D5CDD505-2E9C-101B-9397-08002B2CF9AE}" pid="3" name="KSOProductBuildVer">
    <vt:lpwstr>1033-12.2.0.21931</vt:lpwstr>
  </property>
</Properties>
</file>